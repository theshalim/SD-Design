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meema.alam\Desktop\"/>
    </mc:Choice>
  </mc:AlternateContent>
  <bookViews>
    <workbookView xWindow="0" yWindow="0" windowWidth="20490" windowHeight="7755" tabRatio="596"/>
  </bookViews>
  <sheets>
    <sheet name="SalarySheet" sheetId="1" r:id="rId1"/>
    <sheet name="Voucer" sheetId="5" r:id="rId2"/>
    <sheet name="SF" sheetId="14" r:id="rId3"/>
    <sheet name="BCGF" sheetId="9" r:id="rId4"/>
    <sheet name="BCPF" sheetId="19" r:id="rId5"/>
    <sheet name="PF BDBL" sheetId="22" r:id="rId6"/>
    <sheet name="PF BSB" sheetId="16" r:id="rId7"/>
    <sheet name="HBA" sheetId="10" r:id="rId8"/>
    <sheet name="MCL" sheetId="11" r:id="rId9"/>
    <sheet name="CL" sheetId="20" r:id="rId10"/>
    <sheet name="BF" sheetId="12" r:id="rId11"/>
    <sheet name="TAX" sheetId="18" r:id="rId12"/>
    <sheet name="Net Pay" sheetId="13" r:id="rId13"/>
    <sheet name="Sheet1" sheetId="17" state="hidden" r:id="rId14"/>
    <sheet name="PF Loan" sheetId="21" r:id="rId15"/>
  </sheets>
  <definedNames>
    <definedName name="BF" localSheetId="3">SalarySheet!#REF!</definedName>
    <definedName name="BF" localSheetId="4">SalarySheet!#REF!</definedName>
    <definedName name="BF" localSheetId="10">SalarySheet!#REF!</definedName>
    <definedName name="BF" localSheetId="9">SalarySheet!#REF!</definedName>
    <definedName name="BF" localSheetId="7">SalarySheet!#REF!</definedName>
    <definedName name="BF" localSheetId="8">SalarySheet!#REF!</definedName>
    <definedName name="BF" localSheetId="12">SalarySheet!#REF!</definedName>
    <definedName name="BF" localSheetId="6">SalarySheet!#REF!</definedName>
    <definedName name="BF" localSheetId="2">SalarySheet!#REF!</definedName>
    <definedName name="BF" localSheetId="11">SalarySheet!#REF!</definedName>
    <definedName name="BF">SalarySheet!#REF!</definedName>
    <definedName name="Bonus1" localSheetId="3">#REF!</definedName>
    <definedName name="Bonus1" localSheetId="4">#REF!</definedName>
    <definedName name="Bonus1" localSheetId="10">#REF!</definedName>
    <definedName name="Bonus1" localSheetId="9">#REF!</definedName>
    <definedName name="Bonus1" localSheetId="7">#REF!</definedName>
    <definedName name="Bonus1" localSheetId="8">#REF!</definedName>
    <definedName name="Bonus1" localSheetId="12">#REF!</definedName>
    <definedName name="Bonus1" localSheetId="6">#REF!</definedName>
    <definedName name="Bonus1" localSheetId="2">#REF!</definedName>
    <definedName name="Bonus1" localSheetId="11">#REF!</definedName>
    <definedName name="Bonus1">#REF!</definedName>
    <definedName name="Bonus2" localSheetId="3">#REF!</definedName>
    <definedName name="Bonus2" localSheetId="4">#REF!</definedName>
    <definedName name="Bonus2" localSheetId="10">#REF!</definedName>
    <definedName name="Bonus2" localSheetId="9">#REF!</definedName>
    <definedName name="Bonus2" localSheetId="7">#REF!</definedName>
    <definedName name="Bonus2" localSheetId="8">#REF!</definedName>
    <definedName name="Bonus2" localSheetId="12">#REF!</definedName>
    <definedName name="Bonus2" localSheetId="6">#REF!</definedName>
    <definedName name="Bonus2" localSheetId="2">#REF!</definedName>
    <definedName name="Bonus2" localSheetId="11">#REF!</definedName>
    <definedName name="Bonus2">#REF!</definedName>
    <definedName name="branch">SalarySheet!$A$1:$AH$35</definedName>
    <definedName name="CL">SalarySheet!#REF!</definedName>
    <definedName name="CPF" localSheetId="4">SalarySheet!#REF!</definedName>
    <definedName name="CPF" localSheetId="10">SalarySheet!#REF!</definedName>
    <definedName name="CPF" localSheetId="9">SalarySheet!#REF!</definedName>
    <definedName name="CPF" localSheetId="7">SalarySheet!#REF!</definedName>
    <definedName name="CPF" localSheetId="8">SalarySheet!#REF!</definedName>
    <definedName name="CPF" localSheetId="12">SalarySheet!#REF!</definedName>
    <definedName name="CPF" localSheetId="6">SalarySheet!#REF!</definedName>
    <definedName name="CPF" localSheetId="2">SalarySheet!#REF!</definedName>
    <definedName name="CPF" localSheetId="11">SalarySheet!#REF!</definedName>
    <definedName name="CPF">SalarySheet!#REF!</definedName>
    <definedName name="fsd" localSheetId="3">#REF!</definedName>
    <definedName name="fsd" localSheetId="4">#REF!</definedName>
    <definedName name="fsd" localSheetId="10">#REF!</definedName>
    <definedName name="fsd" localSheetId="9">#REF!</definedName>
    <definedName name="fsd" localSheetId="7">#REF!</definedName>
    <definedName name="fsd" localSheetId="8">#REF!</definedName>
    <definedName name="fsd" localSheetId="12">#REF!</definedName>
    <definedName name="fsd" localSheetId="6">#REF!</definedName>
    <definedName name="fsd" localSheetId="2">#REF!</definedName>
    <definedName name="fsd" localSheetId="11">#REF!</definedName>
    <definedName name="fsd">#REF!</definedName>
    <definedName name="ggb" localSheetId="4">#REF!</definedName>
    <definedName name="ggb" localSheetId="10">#REF!</definedName>
    <definedName name="ggb" localSheetId="9">#REF!</definedName>
    <definedName name="ggb" localSheetId="7">#REF!</definedName>
    <definedName name="ggb" localSheetId="8">#REF!</definedName>
    <definedName name="ggb" localSheetId="12">#REF!</definedName>
    <definedName name="ggb" localSheetId="6">#REF!</definedName>
    <definedName name="ggb" localSheetId="2">#REF!</definedName>
    <definedName name="ggb" localSheetId="11">#REF!</definedName>
    <definedName name="ggb">#REF!</definedName>
    <definedName name="ghfg" localSheetId="4">#REF!</definedName>
    <definedName name="ghfg" localSheetId="10">#REF!</definedName>
    <definedName name="ghfg" localSheetId="9">#REF!</definedName>
    <definedName name="ghfg" localSheetId="7">#REF!</definedName>
    <definedName name="ghfg" localSheetId="8">#REF!</definedName>
    <definedName name="ghfg" localSheetId="12">#REF!</definedName>
    <definedName name="ghfg" localSheetId="6">#REF!</definedName>
    <definedName name="ghfg" localSheetId="2">#REF!</definedName>
    <definedName name="ghfg" localSheetId="11">#REF!</definedName>
    <definedName name="ghfg">#REF!</definedName>
    <definedName name="HO">SalarySheet!$A$1:$AH$21</definedName>
    <definedName name="Pension" localSheetId="3">#REF!</definedName>
    <definedName name="Pension" localSheetId="4">#REF!</definedName>
    <definedName name="Pension" localSheetId="10">#REF!</definedName>
    <definedName name="Pension" localSheetId="9">#REF!</definedName>
    <definedName name="Pension" localSheetId="7">#REF!</definedName>
    <definedName name="Pension" localSheetId="8">#REF!</definedName>
    <definedName name="Pension" localSheetId="12">#REF!</definedName>
    <definedName name="Pension" localSheetId="6">#REF!</definedName>
    <definedName name="Pension" localSheetId="2">#REF!</definedName>
    <definedName name="Pension" localSheetId="11">#REF!</definedName>
    <definedName name="Pension">#REF!</definedName>
    <definedName name="PF" localSheetId="3">#REF!</definedName>
    <definedName name="PF" localSheetId="4">#REF!</definedName>
    <definedName name="PF" localSheetId="10">#REF!</definedName>
    <definedName name="PF" localSheetId="9">#REF!</definedName>
    <definedName name="PF" localSheetId="7">#REF!</definedName>
    <definedName name="PF" localSheetId="8">#REF!</definedName>
    <definedName name="PF" localSheetId="12">#REF!</definedName>
    <definedName name="PF" localSheetId="6">#REF!</definedName>
    <definedName name="PF" localSheetId="2">#REF!</definedName>
    <definedName name="PF" localSheetId="11">#REF!</definedName>
    <definedName name="PF">#REF!</definedName>
    <definedName name="_xlnm.Print_Area" localSheetId="0">SalarySheet!$A$1:$AI$34</definedName>
    <definedName name="TAX" localSheetId="4">SalarySheet!#REF!</definedName>
    <definedName name="TAX" localSheetId="9">SalarySheet!#REF!</definedName>
    <definedName name="TAX">SalarySheet!#REF!</definedName>
  </definedNames>
  <calcPr calcId="152511"/>
</workbook>
</file>

<file path=xl/calcChain.xml><?xml version="1.0" encoding="utf-8"?>
<calcChain xmlns="http://schemas.openxmlformats.org/spreadsheetml/2006/main">
  <c r="E11" i="22" l="1"/>
  <c r="E12" i="22"/>
  <c r="E13" i="13" l="1"/>
  <c r="D13" i="13"/>
  <c r="C13" i="13"/>
  <c r="B13" i="13"/>
  <c r="E10" i="13"/>
  <c r="E12" i="13"/>
  <c r="D12" i="13"/>
  <c r="C12" i="13"/>
  <c r="B12" i="13"/>
  <c r="D12" i="18"/>
  <c r="D13" i="18"/>
  <c r="C13" i="18"/>
  <c r="B13" i="18"/>
  <c r="C12" i="18"/>
  <c r="B12" i="18"/>
  <c r="F13" i="12"/>
  <c r="D13" i="12"/>
  <c r="C13" i="12"/>
  <c r="B13" i="12"/>
  <c r="D12" i="12"/>
  <c r="C12" i="12"/>
  <c r="B12" i="12"/>
  <c r="E12" i="20"/>
  <c r="E11" i="20"/>
  <c r="C12" i="20"/>
  <c r="B12" i="20"/>
  <c r="C11" i="20"/>
  <c r="B11" i="20"/>
  <c r="C11" i="11"/>
  <c r="B11" i="11"/>
  <c r="E11" i="11"/>
  <c r="D12" i="22"/>
  <c r="F12" i="22" s="1"/>
  <c r="C12" i="22"/>
  <c r="B12" i="22"/>
  <c r="D11" i="22"/>
  <c r="C11" i="22"/>
  <c r="B11" i="22"/>
  <c r="C12" i="19"/>
  <c r="B12" i="19"/>
  <c r="D11" i="19"/>
  <c r="C11" i="19"/>
  <c r="B11" i="19"/>
  <c r="D12" i="9"/>
  <c r="F12" i="9" s="1"/>
  <c r="C12" i="9"/>
  <c r="B12" i="9"/>
  <c r="D11" i="9"/>
  <c r="F11" i="9" s="1"/>
  <c r="C11" i="9"/>
  <c r="B11" i="9"/>
  <c r="G13" i="1" l="1"/>
  <c r="G12" i="1"/>
  <c r="S12" i="1" s="1"/>
  <c r="F11" i="19" s="1"/>
  <c r="K13" i="1" l="1"/>
  <c r="O13" i="1" s="1"/>
  <c r="D12" i="19"/>
  <c r="W13" i="1"/>
  <c r="R13" i="1"/>
  <c r="S13" i="1"/>
  <c r="F12" i="19" s="1"/>
  <c r="W12" i="1"/>
  <c r="AC12" i="1"/>
  <c r="K12" i="1"/>
  <c r="O12" i="1" s="1"/>
  <c r="R12" i="1"/>
  <c r="C10" i="10"/>
  <c r="AG12" i="1" l="1"/>
  <c r="AH12" i="1" s="1"/>
  <c r="F12" i="13" s="1"/>
  <c r="F12" i="12"/>
  <c r="AG13" i="1"/>
  <c r="AH13" i="1" s="1"/>
  <c r="F13" i="13" s="1"/>
  <c r="T13" i="1"/>
  <c r="T12" i="1"/>
  <c r="G10" i="1"/>
  <c r="W10" i="1" s="1"/>
  <c r="K10" i="1" l="1"/>
  <c r="R10" i="1"/>
  <c r="S10" i="1"/>
  <c r="Y10" i="1" l="1"/>
  <c r="E10" i="10"/>
  <c r="O10" i="1"/>
  <c r="E14" i="21"/>
  <c r="AG10" i="1" l="1"/>
  <c r="AH10" i="1" s="1"/>
  <c r="T10" i="1"/>
  <c r="B327" i="5"/>
  <c r="B351" i="5" s="1"/>
  <c r="B373" i="5" s="1"/>
  <c r="B420" i="5" s="1"/>
  <c r="A2" i="1"/>
  <c r="AF15" i="1"/>
  <c r="AB15" i="1"/>
  <c r="L15" i="1"/>
  <c r="E52" i="5"/>
  <c r="E76" i="5"/>
  <c r="C14" i="18"/>
  <c r="C11" i="18"/>
  <c r="B14" i="18"/>
  <c r="B11" i="18"/>
  <c r="D14" i="18"/>
  <c r="D11" i="18"/>
  <c r="E13" i="22"/>
  <c r="C13" i="22"/>
  <c r="B13" i="22"/>
  <c r="E10" i="22"/>
  <c r="C10" i="22"/>
  <c r="B10" i="22"/>
  <c r="D6" i="22"/>
  <c r="E218" i="5"/>
  <c r="A218" i="5"/>
  <c r="D202" i="5"/>
  <c r="W19" i="1"/>
  <c r="B14" i="13"/>
  <c r="C14" i="13"/>
  <c r="E14" i="13"/>
  <c r="B14" i="12"/>
  <c r="C14" i="12"/>
  <c r="B13" i="19"/>
  <c r="C13" i="19"/>
  <c r="B13" i="9"/>
  <c r="C13" i="9"/>
  <c r="M15" i="1"/>
  <c r="N15" i="1"/>
  <c r="Q15" i="1"/>
  <c r="X15" i="1"/>
  <c r="Z15" i="1"/>
  <c r="AA15" i="1"/>
  <c r="AD15" i="1"/>
  <c r="AE15" i="1"/>
  <c r="AI16" i="1"/>
  <c r="D13" i="19"/>
  <c r="D435" i="5"/>
  <c r="AF19" i="1"/>
  <c r="A11" i="21"/>
  <c r="B11" i="21"/>
  <c r="C11" i="21"/>
  <c r="D11" i="21"/>
  <c r="A12" i="21"/>
  <c r="B12" i="21"/>
  <c r="C12" i="21"/>
  <c r="D12" i="21"/>
  <c r="A13" i="21"/>
  <c r="B13" i="21"/>
  <c r="C13" i="21"/>
  <c r="D13" i="21"/>
  <c r="A14" i="21"/>
  <c r="B11" i="13"/>
  <c r="C11" i="13"/>
  <c r="E11" i="13"/>
  <c r="B11" i="12"/>
  <c r="C11" i="12"/>
  <c r="E10" i="20"/>
  <c r="C10" i="20"/>
  <c r="B10" i="20"/>
  <c r="B12" i="11"/>
  <c r="E12" i="11"/>
  <c r="E10" i="11"/>
  <c r="C10" i="11"/>
  <c r="B10" i="11"/>
  <c r="C12" i="11"/>
  <c r="B11" i="10"/>
  <c r="C11" i="10"/>
  <c r="B10" i="16"/>
  <c r="C10" i="16"/>
  <c r="E10" i="16"/>
  <c r="G11" i="1"/>
  <c r="V11" i="1" s="1"/>
  <c r="V15" i="1" s="1"/>
  <c r="C10" i="19"/>
  <c r="D10" i="19"/>
  <c r="B10" i="19"/>
  <c r="C10" i="9"/>
  <c r="B10" i="9"/>
  <c r="U21" i="1"/>
  <c r="F19" i="1"/>
  <c r="H19" i="1"/>
  <c r="I19" i="1"/>
  <c r="J19" i="1"/>
  <c r="L19" i="1"/>
  <c r="M19" i="1"/>
  <c r="N19" i="1"/>
  <c r="Q19" i="1"/>
  <c r="R19" i="1"/>
  <c r="S19" i="1"/>
  <c r="X19" i="1"/>
  <c r="Z19" i="1"/>
  <c r="AA19" i="1"/>
  <c r="AB19" i="1"/>
  <c r="AD19" i="1"/>
  <c r="AE19" i="1"/>
  <c r="E19" i="1"/>
  <c r="F15" i="1"/>
  <c r="H15" i="1"/>
  <c r="I15" i="1"/>
  <c r="J15" i="1"/>
  <c r="D10" i="18"/>
  <c r="D6" i="21"/>
  <c r="E123" i="5"/>
  <c r="B397" i="5"/>
  <c r="D10" i="12"/>
  <c r="D130" i="5"/>
  <c r="D6" i="20"/>
  <c r="E147" i="5"/>
  <c r="AI20" i="1"/>
  <c r="B10" i="13"/>
  <c r="C10" i="13"/>
  <c r="B10" i="18"/>
  <c r="C10" i="18"/>
  <c r="B10" i="12"/>
  <c r="C10" i="12"/>
  <c r="E289" i="5"/>
  <c r="E266" i="5"/>
  <c r="A277" i="5" s="1"/>
  <c r="E243" i="5"/>
  <c r="E219" i="5"/>
  <c r="A181" i="5" s="1"/>
  <c r="A205" i="5" s="1"/>
  <c r="E171" i="5"/>
  <c r="E195" i="5" s="1"/>
  <c r="E99" i="5"/>
  <c r="A133" i="5" s="1"/>
  <c r="D15" i="18" l="1"/>
  <c r="E13" i="11"/>
  <c r="E13" i="20"/>
  <c r="D10" i="9"/>
  <c r="E15" i="1"/>
  <c r="E21" i="1" s="1"/>
  <c r="Q21" i="1"/>
  <c r="P11" i="1"/>
  <c r="P15" i="1" s="1"/>
  <c r="D10" i="22"/>
  <c r="D13" i="22"/>
  <c r="F13" i="22" s="1"/>
  <c r="AF21" i="1"/>
  <c r="D274" i="5" s="1"/>
  <c r="D14" i="13"/>
  <c r="D13" i="9"/>
  <c r="D14" i="12"/>
  <c r="AE21" i="1"/>
  <c r="J21" i="1"/>
  <c r="D10" i="16"/>
  <c r="F10" i="16" s="1"/>
  <c r="F11" i="16" s="1"/>
  <c r="H21" i="1"/>
  <c r="D11" i="12"/>
  <c r="D11" i="13"/>
  <c r="AA21" i="1"/>
  <c r="D131" i="5" s="1"/>
  <c r="D137" i="5" s="1"/>
  <c r="I21" i="1"/>
  <c r="AB21" i="1"/>
  <c r="AD21" i="1"/>
  <c r="X21" i="1"/>
  <c r="L21" i="1"/>
  <c r="F21" i="1"/>
  <c r="Z21" i="1"/>
  <c r="F10" i="19"/>
  <c r="F11" i="12"/>
  <c r="K11" i="1"/>
  <c r="Y11" i="1" s="1"/>
  <c r="N21" i="1"/>
  <c r="M21" i="1"/>
  <c r="D442" i="5"/>
  <c r="A134" i="5"/>
  <c r="F10" i="12"/>
  <c r="D10" i="13"/>
  <c r="A276" i="5"/>
  <c r="G17" i="1"/>
  <c r="P17" i="1" s="1"/>
  <c r="G18" i="1"/>
  <c r="AG11" i="1" l="1"/>
  <c r="Y15" i="1"/>
  <c r="F10" i="9"/>
  <c r="F10" i="22"/>
  <c r="K18" i="1"/>
  <c r="O18" i="1" s="1"/>
  <c r="P18" i="1"/>
  <c r="P19" i="1" s="1"/>
  <c r="E11" i="10"/>
  <c r="E12" i="10" s="1"/>
  <c r="F13" i="19"/>
  <c r="F13" i="9"/>
  <c r="F14" i="12"/>
  <c r="G19" i="1"/>
  <c r="O11" i="1"/>
  <c r="K17" i="1"/>
  <c r="O17" i="1" l="1"/>
  <c r="K19" i="1"/>
  <c r="T11" i="1"/>
  <c r="AH11" i="1"/>
  <c r="F11" i="13" s="1"/>
  <c r="F10" i="13"/>
  <c r="A38" i="5"/>
  <c r="A6" i="5"/>
  <c r="G15" i="1"/>
  <c r="D319" i="5"/>
  <c r="D6" i="19"/>
  <c r="C10" i="14"/>
  <c r="B10" i="14"/>
  <c r="G21" i="1" l="1"/>
  <c r="D14" i="22"/>
  <c r="W15" i="1"/>
  <c r="F14" i="13"/>
  <c r="D15" i="13"/>
  <c r="D15" i="12"/>
  <c r="D11" i="16"/>
  <c r="K15" i="1"/>
  <c r="D273" i="5"/>
  <c r="C6" i="18"/>
  <c r="F28" i="17"/>
  <c r="E28" i="17"/>
  <c r="G27" i="17"/>
  <c r="G26" i="17"/>
  <c r="G25" i="17"/>
  <c r="G24" i="17"/>
  <c r="F22" i="17"/>
  <c r="F30" i="17" s="1"/>
  <c r="E22" i="17"/>
  <c r="E30" i="17" s="1"/>
  <c r="G21" i="17"/>
  <c r="G20" i="17"/>
  <c r="G19" i="17"/>
  <c r="G18" i="17"/>
  <c r="G17" i="17"/>
  <c r="G16" i="17"/>
  <c r="G15" i="17"/>
  <c r="G14" i="17"/>
  <c r="G13" i="17"/>
  <c r="G12" i="17"/>
  <c r="E14" i="16"/>
  <c r="C14" i="16"/>
  <c r="B14" i="16"/>
  <c r="E13" i="16"/>
  <c r="C13" i="16"/>
  <c r="B13" i="16"/>
  <c r="D6" i="16"/>
  <c r="C14" i="14"/>
  <c r="B14" i="14"/>
  <c r="C13" i="14"/>
  <c r="B13" i="14"/>
  <c r="D6" i="14"/>
  <c r="E18" i="13"/>
  <c r="E17" i="13"/>
  <c r="C18" i="13"/>
  <c r="B18" i="13"/>
  <c r="C17" i="13"/>
  <c r="B17" i="13"/>
  <c r="D6" i="13"/>
  <c r="C18" i="12"/>
  <c r="B18" i="12"/>
  <c r="C17" i="12"/>
  <c r="B17" i="12"/>
  <c r="D6" i="12"/>
  <c r="E16" i="11"/>
  <c r="E15" i="11"/>
  <c r="C16" i="11"/>
  <c r="B16" i="11"/>
  <c r="C15" i="11"/>
  <c r="B15" i="11"/>
  <c r="D6" i="11"/>
  <c r="C15" i="10"/>
  <c r="B15" i="10"/>
  <c r="C14" i="10"/>
  <c r="B14" i="10"/>
  <c r="D6" i="10"/>
  <c r="D6" i="9"/>
  <c r="D390" i="5"/>
  <c r="D396" i="5" s="1"/>
  <c r="D178" i="5"/>
  <c r="D226" i="5"/>
  <c r="D365" i="5"/>
  <c r="A7" i="5"/>
  <c r="D296" i="5"/>
  <c r="D106" i="5"/>
  <c r="D83" i="5"/>
  <c r="D154" i="5"/>
  <c r="D59" i="5"/>
  <c r="A39" i="5"/>
  <c r="D35" i="5"/>
  <c r="O19" i="1"/>
  <c r="V17" i="1"/>
  <c r="E29" i="5"/>
  <c r="A63" i="5" s="1"/>
  <c r="G28" i="17" l="1"/>
  <c r="G22" i="17"/>
  <c r="G30" i="17" s="1"/>
  <c r="E17" i="11"/>
  <c r="E18" i="11" s="1"/>
  <c r="F11" i="22"/>
  <c r="F14" i="22" s="1"/>
  <c r="W21" i="1"/>
  <c r="D203" i="5" s="1"/>
  <c r="D209" i="5" s="1"/>
  <c r="K21" i="1"/>
  <c r="F14" i="9"/>
  <c r="D60" i="5"/>
  <c r="D14" i="19"/>
  <c r="Y17" i="1"/>
  <c r="D17" i="12"/>
  <c r="D14" i="9"/>
  <c r="A13" i="16"/>
  <c r="S15" i="1"/>
  <c r="D18" i="12"/>
  <c r="D10" i="14"/>
  <c r="F14" i="19"/>
  <c r="D14" i="14"/>
  <c r="Y18" i="1"/>
  <c r="E15" i="10" s="1"/>
  <c r="D18" i="13"/>
  <c r="D280" i="5"/>
  <c r="D17" i="5" s="1"/>
  <c r="D14" i="16"/>
  <c r="F14" i="16" s="1"/>
  <c r="D17" i="13"/>
  <c r="V18" i="1"/>
  <c r="D13" i="16"/>
  <c r="D155" i="5"/>
  <c r="D161" i="5" s="1"/>
  <c r="D14" i="5" s="1"/>
  <c r="F18" i="12"/>
  <c r="D13" i="14"/>
  <c r="D107" i="5"/>
  <c r="D113" i="5" s="1"/>
  <c r="D12" i="5" s="1"/>
  <c r="A62" i="5"/>
  <c r="A87" i="5"/>
  <c r="D19" i="12" l="1"/>
  <c r="D20" i="12" s="1"/>
  <c r="D15" i="16"/>
  <c r="D16" i="16" s="1"/>
  <c r="AG17" i="1"/>
  <c r="Y19" i="1"/>
  <c r="F15" i="12"/>
  <c r="AC15" i="1"/>
  <c r="O15" i="1"/>
  <c r="O21" i="1" s="1"/>
  <c r="R15" i="1"/>
  <c r="R21" i="1" s="1"/>
  <c r="AG18" i="1"/>
  <c r="S21" i="1"/>
  <c r="D19" i="13"/>
  <c r="D20" i="13" s="1"/>
  <c r="V19" i="1"/>
  <c r="D15" i="14"/>
  <c r="AC19" i="1"/>
  <c r="E14" i="10"/>
  <c r="E16" i="10" s="1"/>
  <c r="E17" i="10" s="1"/>
  <c r="F17" i="12"/>
  <c r="F19" i="12" s="1"/>
  <c r="F13" i="16"/>
  <c r="F15" i="16" s="1"/>
  <c r="F16" i="16" s="1"/>
  <c r="D251" i="5"/>
  <c r="D257" i="5" s="1"/>
  <c r="D250" i="5"/>
  <c r="D11" i="14"/>
  <c r="F13" i="14"/>
  <c r="T17" i="1"/>
  <c r="F14" i="14"/>
  <c r="T18" i="1"/>
  <c r="F10" i="14"/>
  <c r="F11" i="14" s="1"/>
  <c r="A86" i="5"/>
  <c r="A158" i="5"/>
  <c r="A14" i="16"/>
  <c r="A157" i="5"/>
  <c r="D66" i="5"/>
  <c r="A22" i="1"/>
  <c r="F20" i="12" l="1"/>
  <c r="AH15" i="1"/>
  <c r="AG15" i="1"/>
  <c r="T15" i="1"/>
  <c r="AC21" i="1"/>
  <c r="D227" i="5" s="1"/>
  <c r="D233" i="5" s="1"/>
  <c r="V21" i="1"/>
  <c r="D179" i="5" s="1"/>
  <c r="D185" i="5" s="1"/>
  <c r="Y21" i="1"/>
  <c r="D84" i="5" s="1"/>
  <c r="AG19" i="1"/>
  <c r="P21" i="1"/>
  <c r="D384" i="5" s="1"/>
  <c r="D389" i="5" s="1"/>
  <c r="T19" i="1"/>
  <c r="F15" i="14"/>
  <c r="D366" i="5"/>
  <c r="D372" i="5" s="1"/>
  <c r="D407" i="5"/>
  <c r="D412" i="5" s="1"/>
  <c r="A299" i="5"/>
  <c r="AH17" i="1"/>
  <c r="D320" i="5"/>
  <c r="D326" i="5" s="1"/>
  <c r="D338" i="5"/>
  <c r="D343" i="5" s="1"/>
  <c r="A109" i="5"/>
  <c r="A110" i="5"/>
  <c r="AH18" i="1"/>
  <c r="F18" i="13" s="1"/>
  <c r="D16" i="14"/>
  <c r="A300" i="5"/>
  <c r="F15" i="13" l="1"/>
  <c r="AG21" i="1"/>
  <c r="T21" i="1"/>
  <c r="F16" i="14"/>
  <c r="F17" i="13"/>
  <c r="D90" i="5"/>
  <c r="E312" i="5"/>
  <c r="D297" i="5"/>
  <c r="D303" i="5" s="1"/>
  <c r="AH19" i="1"/>
  <c r="E359" i="5"/>
  <c r="AH21" i="1" l="1"/>
  <c r="D11" i="5"/>
  <c r="A368" i="5"/>
  <c r="A369" i="5"/>
  <c r="E336" i="5"/>
  <c r="A340" i="5" s="1"/>
  <c r="A322" i="5"/>
  <c r="A323" i="5"/>
  <c r="D4" i="5"/>
  <c r="D9" i="5" s="1"/>
  <c r="F19" i="13"/>
  <c r="F20" i="13" s="1"/>
  <c r="A230" i="5"/>
  <c r="A229" i="5"/>
  <c r="D36" i="5" l="1"/>
  <c r="D42" i="5" s="1"/>
  <c r="D10" i="5" s="1"/>
  <c r="D18" i="5" s="1"/>
  <c r="A341" i="5"/>
  <c r="A182" i="5"/>
  <c r="A206" i="5" s="1"/>
  <c r="A253" i="5"/>
  <c r="E382" i="5" l="1"/>
  <c r="A386" i="5" s="1"/>
  <c r="A254" i="5"/>
  <c r="A387" i="5" l="1"/>
  <c r="E405" i="5"/>
  <c r="E428" i="5" s="1"/>
  <c r="A438" i="5" l="1"/>
  <c r="A439" i="5"/>
  <c r="A410" i="5"/>
  <c r="A409" i="5"/>
</calcChain>
</file>

<file path=xl/sharedStrings.xml><?xml version="1.0" encoding="utf-8"?>
<sst xmlns="http://schemas.openxmlformats.org/spreadsheetml/2006/main" count="770" uniqueCount="216">
  <si>
    <t>Sl. No</t>
  </si>
  <si>
    <t>Name</t>
  </si>
  <si>
    <t>Designation</t>
  </si>
  <si>
    <t>Substantive Pay</t>
  </si>
  <si>
    <t>Pers. Pay or Ar. Pay</t>
  </si>
  <si>
    <t>Sumptuary Allowance</t>
  </si>
  <si>
    <t>Medical Allowance</t>
  </si>
  <si>
    <t>Conveyance Allowance</t>
  </si>
  <si>
    <t>Total Salary &amp; Allowance</t>
  </si>
  <si>
    <t>Total Deduction</t>
  </si>
  <si>
    <t>Staff loan</t>
  </si>
  <si>
    <t>Others</t>
  </si>
  <si>
    <t>Motor Cycle</t>
  </si>
  <si>
    <t>OFFICER</t>
  </si>
  <si>
    <t>STAFF</t>
  </si>
  <si>
    <t xml:space="preserve"> Verified by :</t>
  </si>
  <si>
    <t>Approved by :</t>
  </si>
  <si>
    <t>Newspaper</t>
  </si>
  <si>
    <t>Union</t>
  </si>
  <si>
    <t>Officer</t>
  </si>
  <si>
    <t xml:space="preserve">Md. Abdur Rouf Khan </t>
  </si>
  <si>
    <t>Md. Younus Ali</t>
  </si>
  <si>
    <t xml:space="preserve">P. O. </t>
  </si>
  <si>
    <t>Md. Imam Hossain</t>
  </si>
  <si>
    <t>Md. Rokibuzzaman</t>
  </si>
  <si>
    <t xml:space="preserve"> Sr. Officer</t>
  </si>
  <si>
    <t>S M Golam Rabbani</t>
  </si>
  <si>
    <t>Md. Ashraful Islam</t>
  </si>
  <si>
    <t>Mrs Ashrafunnahar</t>
  </si>
  <si>
    <t>Md. Nurul Alam</t>
  </si>
  <si>
    <t>Md. Sahin  Molla</t>
  </si>
  <si>
    <t>Atiar Rahman Khan</t>
  </si>
  <si>
    <t xml:space="preserve">Md. Alamgir </t>
  </si>
  <si>
    <t>S.Staff-2</t>
  </si>
  <si>
    <t xml:space="preserve">Md. Khalil </t>
  </si>
  <si>
    <t xml:space="preserve">Md. Samsul Alam </t>
  </si>
  <si>
    <t>Sub Total:</t>
  </si>
  <si>
    <t>Total:</t>
  </si>
  <si>
    <t>Total Substantive Pay</t>
  </si>
  <si>
    <t>D   E   D  U   C   T    I   O  N</t>
  </si>
  <si>
    <t>HBA</t>
  </si>
  <si>
    <t>%</t>
  </si>
  <si>
    <t>Members</t>
  </si>
  <si>
    <t>Provident Fund</t>
  </si>
  <si>
    <t>Prepared By :</t>
  </si>
  <si>
    <t>BANGLADESH DEVELOPMENT BANK LIMITED</t>
  </si>
  <si>
    <t>TRANSFER</t>
  </si>
  <si>
    <t>Folio</t>
  </si>
  <si>
    <t>P  A  R  T  I  C  U  L  A  R  S</t>
  </si>
  <si>
    <t>ACCOUNT 
CODE</t>
  </si>
  <si>
    <t>AMOUNT</t>
  </si>
  <si>
    <t xml:space="preserve">POSTED BY
</t>
  </si>
  <si>
    <t>DEBIT</t>
  </si>
  <si>
    <t>CREDIT</t>
  </si>
  <si>
    <t>Prepared by……………………..</t>
  </si>
  <si>
    <t xml:space="preserve">OFFICER/SR. OFFICER </t>
  </si>
  <si>
    <t>House Rent Allowance</t>
  </si>
  <si>
    <t>BANGLADESH  DEVELOPMENT BANK LIMITED, BRANCH OFFICE, FARIDPUR.</t>
  </si>
  <si>
    <t>-</t>
  </si>
  <si>
    <t>SB A/C No</t>
  </si>
  <si>
    <t>Washing Allowance</t>
  </si>
  <si>
    <t>Gross Salary</t>
  </si>
  <si>
    <t>Amount</t>
  </si>
  <si>
    <t>Revenue Stamp</t>
  </si>
  <si>
    <t>Benevolent Fund</t>
  </si>
  <si>
    <t>Net Salary</t>
  </si>
  <si>
    <t>Transfer Scroll No……………..……….</t>
  </si>
  <si>
    <t>Date</t>
  </si>
  <si>
    <t>Faridpur Branch</t>
  </si>
  <si>
    <t>Taka (in worlds):</t>
  </si>
  <si>
    <t>Tk.</t>
  </si>
  <si>
    <t>CAD A/c (Bank's Contribution to Pension Fund)</t>
  </si>
  <si>
    <t>SB A/c</t>
  </si>
  <si>
    <t>CAD A/c (Bank's Contribution to Provident Fund)</t>
  </si>
  <si>
    <t>CAD A/c (Benevolent Fund)</t>
  </si>
  <si>
    <t>Sundries A/c.</t>
  </si>
  <si>
    <t>Name of the Employees</t>
  </si>
  <si>
    <t xml:space="preserve"> Designation</t>
  </si>
  <si>
    <t>% of Basic</t>
  </si>
  <si>
    <t xml:space="preserve">Sub Total : </t>
  </si>
  <si>
    <t>Name of the Month :</t>
  </si>
  <si>
    <t>SL.
NO</t>
  </si>
  <si>
    <t>Branch Office, Faridpur</t>
  </si>
  <si>
    <t>Grand Total:</t>
  </si>
  <si>
    <t>Branch Head</t>
  </si>
  <si>
    <t>Principal Officer</t>
  </si>
  <si>
    <t>S.S.S</t>
  </si>
  <si>
    <t>Total Basic</t>
  </si>
  <si>
    <t>OFFICER:</t>
  </si>
  <si>
    <t>SUB. STAFF:</t>
  </si>
  <si>
    <t>Abul Kalam Munshi</t>
  </si>
  <si>
    <t>SB A/c No.</t>
  </si>
  <si>
    <t>Details of Employees Benevolent Fund Contribution</t>
  </si>
  <si>
    <t>Details of Amount of Employees Net Pay</t>
  </si>
  <si>
    <t>SB A/c (SB-111)</t>
  </si>
  <si>
    <t>Details of Bank's Contribution to Superannuation Fund</t>
  </si>
  <si>
    <t>Total % of Basic</t>
  </si>
  <si>
    <t>AGM</t>
  </si>
  <si>
    <t xml:space="preserve">Child Ed./ Sp. Allowance     </t>
  </si>
  <si>
    <t xml:space="preserve">S. P. O. </t>
  </si>
  <si>
    <t>Officer:</t>
  </si>
  <si>
    <t>Staff:</t>
  </si>
  <si>
    <t>Bonus Amount for Edul-Fitar</t>
  </si>
  <si>
    <r>
      <t xml:space="preserve">BANGLADESH  DEVELOPMENT BANK LIMITED,       </t>
    </r>
    <r>
      <rPr>
        <b/>
        <u/>
        <sz val="11"/>
        <rFont val="Arial"/>
        <family val="2"/>
      </rPr>
      <t>BRANCH OFFICE, FARIDPUR.</t>
    </r>
  </si>
  <si>
    <t>Mobile Bill</t>
  </si>
  <si>
    <t>Tax</t>
  </si>
  <si>
    <t>PO</t>
  </si>
  <si>
    <t>SO</t>
  </si>
  <si>
    <t xml:space="preserve">Tax amonut of Employees </t>
  </si>
  <si>
    <t>Tax Amount</t>
  </si>
  <si>
    <t>Loan A/c No.</t>
  </si>
  <si>
    <t>Details of Bank's Contribution to Gratuity Fund</t>
  </si>
  <si>
    <t>Details of Bank's Contribution to Provident Fund for BDBL Officers</t>
  </si>
  <si>
    <t>53100-31</t>
  </si>
  <si>
    <t>20200-01</t>
  </si>
  <si>
    <t>20100-01 SB A/c</t>
  </si>
  <si>
    <t>20850-03 Employees Tax</t>
  </si>
  <si>
    <t>13600-01</t>
  </si>
  <si>
    <t>20850-03</t>
  </si>
  <si>
    <t>53100-06</t>
  </si>
  <si>
    <t>Bank's Contribution to Gratuity fund</t>
  </si>
  <si>
    <t>Salary &amp; Allowance</t>
  </si>
  <si>
    <t>Staff House Building Loan</t>
  </si>
  <si>
    <t>Staff Motor Cycle Loan</t>
  </si>
  <si>
    <t>13600-12</t>
  </si>
  <si>
    <t>53100-25</t>
  </si>
  <si>
    <t>53100-36</t>
  </si>
  <si>
    <t>BANK'S CONTRIBUTION TO GRATUITY</t>
  </si>
  <si>
    <t>Bank's Contribution to Employees Provident Fund</t>
  </si>
  <si>
    <t xml:space="preserve"> as per details in the salary sheet.</t>
  </si>
  <si>
    <t>as per details in the salary sheet.</t>
  </si>
  <si>
    <t>EMPLOYEES PENSION AND BENEVOLENT FUND</t>
  </si>
  <si>
    <t>54800-11</t>
  </si>
  <si>
    <t>Details of Employees HBA Realization</t>
  </si>
  <si>
    <t>Details of Employees Motor Cycle Loan Realization</t>
  </si>
  <si>
    <t>Bank's Contribution to BSB Employees Superannuation fund</t>
  </si>
  <si>
    <t>Bank's Contribution to BSRS Employees Superannuation fund</t>
  </si>
  <si>
    <t>Details of Employees' Contribution to Provident Fund (BSB &amp; BDBL)</t>
  </si>
  <si>
    <t>Being the amount of Employees' Contribution to Provident Fund (BSB</t>
  </si>
  <si>
    <t>Employees' Income Tax</t>
  </si>
  <si>
    <t>Bank's Contribution to Superannuation Fund (BSB)</t>
  </si>
  <si>
    <t>20750-35</t>
  </si>
  <si>
    <t>20750-35 Employee Revenue Stamp (117-F)</t>
  </si>
  <si>
    <t>Employee Revenue Stamp (117-F)</t>
  </si>
  <si>
    <t>Being the amount of salary &amp; allowances paid to officer's and non</t>
  </si>
  <si>
    <t>Being the amount of Bank's Contribution to BSB employees'</t>
  </si>
  <si>
    <t>Being the amount of salary &amp; allowances paid to trade union of</t>
  </si>
  <si>
    <t>Being the amount of salary &amp; allowances paid for stamps all</t>
  </si>
  <si>
    <t>Being the amount of salary &amp; allowances paid for HBA of officer's and</t>
  </si>
  <si>
    <t>Being the amount of salary &amp; allowances paid for MCL of officer's and</t>
  </si>
  <si>
    <t>Being the amount of salary &amp; allowances paid for BF officer's and non</t>
  </si>
  <si>
    <t xml:space="preserve">Being the amount of salary &amp; allowances paid for newspaper bill of </t>
  </si>
  <si>
    <t xml:space="preserve">Being the amount of salary &amp; allowances realised as Tax amount from Tax </t>
  </si>
  <si>
    <t>Being the amount of salary &amp; allowances paid to employees</t>
  </si>
  <si>
    <t>CAD A/c (Bank's Contribution to Gratuity Fund)</t>
  </si>
  <si>
    <t>20750-49</t>
  </si>
  <si>
    <t>20750-47</t>
  </si>
  <si>
    <t>20750-43</t>
  </si>
  <si>
    <t>20750-45</t>
  </si>
  <si>
    <t xml:space="preserve">Being the amount of Bank's Contribution to BSB employees </t>
  </si>
  <si>
    <t>Being the amount of Bank's Contribution to Gratuity fund</t>
  </si>
  <si>
    <t xml:space="preserve">Being the amount of Bank's Contribution to BDBL employees </t>
  </si>
  <si>
    <t>Being the amount of Bank's Contribution to Employee's P. fund</t>
  </si>
  <si>
    <t>13600-12 Staff Motor Cycle Loan</t>
  </si>
  <si>
    <t>13600-01 Staff House Building Loan</t>
  </si>
  <si>
    <t>14100-001 CAD A/c (20750-43, 20750-44, 20750-45)</t>
  </si>
  <si>
    <t>54800-11 Sundries A/c</t>
  </si>
  <si>
    <t>Checked By :</t>
  </si>
  <si>
    <t>Manager</t>
  </si>
  <si>
    <t>SS-1</t>
  </si>
  <si>
    <t>Computer</t>
  </si>
  <si>
    <t>13600-39 Staff Computer Loan</t>
  </si>
  <si>
    <t>Staff Computer Loan</t>
  </si>
  <si>
    <t>13600-39</t>
  </si>
  <si>
    <t>Being the amount of salary &amp; allowances paid for CL of officer's and</t>
  </si>
  <si>
    <t>Details of Employees Computer Loan Realization</t>
  </si>
  <si>
    <t>PF Loan</t>
  </si>
  <si>
    <t>Conveyance &amp; Washing Allowance Adjustment of Staff</t>
  </si>
  <si>
    <t>A/C No</t>
  </si>
  <si>
    <t>Deduct Amount</t>
  </si>
  <si>
    <t xml:space="preserve">Being the amount of Salary &amp; Allowances realised for Conveyance &amp; </t>
  </si>
  <si>
    <t>Washing Allowance Adjustment From Staff of the Branch officer(For Nine month)</t>
  </si>
  <si>
    <t>20750-62</t>
  </si>
  <si>
    <t>Amount for BSB  Employees</t>
  </si>
  <si>
    <t>Amount for BDBL Employees</t>
  </si>
  <si>
    <t>Being the amount of salary &amp; allowances paid for BF BDBL officer's</t>
  </si>
  <si>
    <t xml:space="preserve">CAD A/c </t>
  </si>
  <si>
    <t>Employees' Contribution to P. Fund (BSB )</t>
  </si>
  <si>
    <t>OWN Contribution to P. Fund (BDBL)</t>
  </si>
  <si>
    <t>Details of Employees' Contribution to Provident Fund (BDBL)</t>
  </si>
  <si>
    <t xml:space="preserve"> Total : </t>
  </si>
  <si>
    <t>Taka Seven Thousand One Hundred Sixty Eight only</t>
  </si>
  <si>
    <t>Taka Twenty only</t>
  </si>
  <si>
    <t>Md. Hassan-Uz-Zaman</t>
  </si>
  <si>
    <t>Muhammad Rokibuzzaman</t>
  </si>
  <si>
    <t>Taka Three Thousand Eight Hundred Sixty Only</t>
  </si>
  <si>
    <t xml:space="preserve">z </t>
  </si>
  <si>
    <t>SPO</t>
  </si>
  <si>
    <t xml:space="preserve">PRINCIPAL OFFICER </t>
  </si>
  <si>
    <t>SENIOR PRINCIPAL OFFICER</t>
  </si>
  <si>
    <t>Mr.Rajat Biswas</t>
  </si>
  <si>
    <t>Md.Kamrul Islam</t>
  </si>
  <si>
    <t>Off.(cash)</t>
  </si>
  <si>
    <t>Taka Six Only</t>
  </si>
  <si>
    <t>Takas One thousand Nine hundred thirty four Only</t>
  </si>
  <si>
    <t>Senior Officer</t>
  </si>
  <si>
    <t xml:space="preserve"> Principal Officer</t>
  </si>
  <si>
    <t>Takas Two lac  One thousand One Hundred Eleven only</t>
  </si>
  <si>
    <t>Taka Eleven thousand Two hundred Twenty nine Only</t>
  </si>
  <si>
    <t>One lac Ninty Thousand Two Hundred Fifty One only</t>
  </si>
  <si>
    <t>Taka Fourty Seven Thousand Two Hundred Four Only</t>
  </si>
  <si>
    <t>Taka Fifteen Thousand One Hundred Twenty Five Only</t>
  </si>
  <si>
    <t>Taka Seventy Only</t>
  </si>
  <si>
    <t>Taka Fourty Thousand Seven Hundred Ninteey Only</t>
  </si>
  <si>
    <t>Taka One Thousand Three Hundred Only</t>
  </si>
  <si>
    <t>Taka Thirty Four Thousand Three Hundred  Thirty Four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</si>
</sst>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Tk.&quot;* #,##0.00_);_(&quot;Tk.&quot;* \(#,##0.00\);_(&quot;Tk.&quot;* &quot;-&quot;??_);_(@_)"/>
    <numFmt numFmtId="165" formatCode="0_);\(0\)"/>
    <numFmt numFmtId="166" formatCode="0;[Red]0"/>
    <numFmt numFmtId="167" formatCode="_(* #,##0_);_(* \(#,##0\);_(* &quot;-&quot;??_);_(@_)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i/>
      <sz val="10"/>
      <name val="Arial"/>
      <family val="2"/>
    </font>
    <font>
      <i/>
      <sz val="10"/>
      <name val="Arial"/>
      <family val="2"/>
    </font>
    <font>
      <b/>
      <u/>
      <sz val="10"/>
      <name val="Times New Roman"/>
      <family val="1"/>
    </font>
    <font>
      <b/>
      <i/>
      <sz val="10"/>
      <name val="Times New Roman"/>
      <family val="1"/>
    </font>
    <font>
      <u/>
      <sz val="10"/>
      <name val="Times New Roman"/>
      <family val="1"/>
    </font>
    <font>
      <sz val="10"/>
      <color indexed="8"/>
      <name val="Times New Roman"/>
      <family val="1"/>
    </font>
    <font>
      <sz val="14"/>
      <name val="Arial"/>
      <family val="2"/>
    </font>
    <font>
      <sz val="12"/>
      <name val="Arial"/>
      <family val="2"/>
    </font>
    <font>
      <b/>
      <u/>
      <sz val="12"/>
      <name val="Arial"/>
      <family val="2"/>
    </font>
    <font>
      <b/>
      <sz val="14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name val="Times New Roman"/>
      <family val="1"/>
    </font>
    <font>
      <sz val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16">
    <xf numFmtId="0" fontId="0" fillId="0" borderId="0" xfId="0"/>
    <xf numFmtId="2" fontId="4" fillId="0" borderId="0" xfId="0" applyNumberFormat="1" applyFont="1"/>
    <xf numFmtId="2" fontId="2" fillId="0" borderId="0" xfId="0" applyNumberFormat="1" applyFont="1" applyBorder="1"/>
    <xf numFmtId="1" fontId="2" fillId="0" borderId="0" xfId="0" applyNumberFormat="1" applyFont="1" applyBorder="1"/>
    <xf numFmtId="2" fontId="4" fillId="0" borderId="0" xfId="0" applyNumberFormat="1" applyFont="1" applyBorder="1"/>
    <xf numFmtId="2" fontId="4" fillId="0" borderId="0" xfId="0" applyNumberFormat="1" applyFont="1" applyBorder="1" applyAlignment="1">
      <alignment horizontal="right"/>
    </xf>
    <xf numFmtId="1" fontId="4" fillId="0" borderId="0" xfId="0" applyNumberFormat="1" applyFont="1" applyBorder="1"/>
    <xf numFmtId="2" fontId="2" fillId="0" borderId="0" xfId="0" applyNumberFormat="1" applyFont="1" applyAlignment="1">
      <alignment horizontal="left"/>
    </xf>
    <xf numFmtId="2" fontId="2" fillId="0" borderId="0" xfId="0" applyNumberFormat="1" applyFont="1"/>
    <xf numFmtId="1" fontId="2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2" fillId="0" borderId="0" xfId="0" applyNumberFormat="1" applyFont="1" applyBorder="1" applyAlignment="1">
      <alignment horizontal="left"/>
    </xf>
    <xf numFmtId="0" fontId="2" fillId="0" borderId="1" xfId="0" applyFont="1" applyBorder="1"/>
    <xf numFmtId="0" fontId="8" fillId="0" borderId="1" xfId="0" applyFont="1" applyBorder="1"/>
    <xf numFmtId="0" fontId="8" fillId="0" borderId="1" xfId="0" applyFont="1" applyBorder="1" applyAlignment="1">
      <alignment vertical="top"/>
    </xf>
    <xf numFmtId="0" fontId="8" fillId="0" borderId="1" xfId="0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top"/>
    </xf>
    <xf numFmtId="2" fontId="10" fillId="0" borderId="0" xfId="0" applyNumberFormat="1" applyFont="1" applyBorder="1"/>
    <xf numFmtId="2" fontId="9" fillId="0" borderId="0" xfId="0" applyNumberFormat="1" applyFont="1" applyBorder="1"/>
    <xf numFmtId="2" fontId="9" fillId="0" borderId="0" xfId="0" applyNumberFormat="1" applyFont="1" applyBorder="1" applyAlignment="1">
      <alignment horizontal="right"/>
    </xf>
    <xf numFmtId="2" fontId="10" fillId="0" borderId="0" xfId="0" applyNumberFormat="1" applyFont="1" applyBorder="1" applyAlignment="1">
      <alignment horizontal="right"/>
    </xf>
    <xf numFmtId="41" fontId="8" fillId="0" borderId="1" xfId="1" applyNumberFormat="1" applyFont="1" applyBorder="1" applyAlignment="1">
      <alignment horizontal="right" vertical="justify"/>
    </xf>
    <xf numFmtId="1" fontId="10" fillId="0" borderId="0" xfId="0" applyNumberFormat="1" applyFont="1" applyBorder="1" applyAlignment="1">
      <alignment horizontal="right"/>
    </xf>
    <xf numFmtId="1" fontId="4" fillId="0" borderId="1" xfId="0" applyNumberFormat="1" applyFont="1" applyBorder="1" applyAlignment="1">
      <alignment horizontal="right"/>
    </xf>
    <xf numFmtId="2" fontId="8" fillId="0" borderId="0" xfId="0" applyNumberFormat="1" applyFont="1" applyBorder="1"/>
    <xf numFmtId="1" fontId="8" fillId="0" borderId="1" xfId="0" applyNumberFormat="1" applyFont="1" applyBorder="1" applyAlignment="1">
      <alignment horizontal="centerContinuous"/>
    </xf>
    <xf numFmtId="1" fontId="8" fillId="0" borderId="1" xfId="0" applyNumberFormat="1" applyFont="1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right"/>
    </xf>
    <xf numFmtId="166" fontId="8" fillId="0" borderId="1" xfId="0" applyNumberFormat="1" applyFont="1" applyBorder="1" applyAlignment="1">
      <alignment horizontal="right"/>
    </xf>
    <xf numFmtId="1" fontId="12" fillId="0" borderId="1" xfId="0" applyNumberFormat="1" applyFont="1" applyBorder="1" applyAlignment="1">
      <alignment horizontal="right"/>
    </xf>
    <xf numFmtId="1" fontId="8" fillId="0" borderId="1" xfId="0" applyNumberFormat="1" applyFont="1" applyBorder="1"/>
    <xf numFmtId="0" fontId="14" fillId="0" borderId="0" xfId="0" applyFont="1"/>
    <xf numFmtId="2" fontId="2" fillId="0" borderId="0" xfId="0" applyNumberFormat="1" applyFont="1" applyBorder="1" applyAlignment="1">
      <alignment horizontal="left"/>
    </xf>
    <xf numFmtId="2" fontId="7" fillId="0" borderId="0" xfId="0" applyNumberFormat="1" applyFont="1"/>
    <xf numFmtId="2" fontId="3" fillId="0" borderId="0" xfId="0" applyNumberFormat="1" applyFont="1" applyAlignment="1">
      <alignment horizontal="left"/>
    </xf>
    <xf numFmtId="2" fontId="2" fillId="0" borderId="0" xfId="0" applyNumberFormat="1" applyFont="1" applyAlignment="1"/>
    <xf numFmtId="0" fontId="2" fillId="0" borderId="0" xfId="0" applyFont="1" applyAlignment="1"/>
    <xf numFmtId="1" fontId="4" fillId="0" borderId="0" xfId="0" applyNumberFormat="1" applyFont="1" applyAlignment="1"/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2" fillId="0" borderId="0" xfId="0" applyFont="1"/>
    <xf numFmtId="0" fontId="2" fillId="0" borderId="4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2" fillId="0" borderId="6" xfId="1" applyFont="1" applyBorder="1" applyAlignment="1">
      <alignment horizontal="right" vertical="center"/>
    </xf>
    <xf numFmtId="0" fontId="2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43" fontId="2" fillId="0" borderId="7" xfId="1" applyFont="1" applyBorder="1" applyAlignment="1">
      <alignment horizontal="right" vertical="center"/>
    </xf>
    <xf numFmtId="167" fontId="2" fillId="0" borderId="6" xfId="1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64" fontId="4" fillId="0" borderId="6" xfId="1" applyNumberFormat="1" applyFont="1" applyBorder="1" applyAlignment="1">
      <alignment horizontal="right" vertical="center"/>
    </xf>
    <xf numFmtId="164" fontId="4" fillId="0" borderId="6" xfId="2" applyNumberFormat="1" applyFont="1" applyBorder="1" applyAlignment="1">
      <alignment horizontal="right" vertical="center"/>
    </xf>
    <xf numFmtId="14" fontId="2" fillId="0" borderId="0" xfId="0" applyNumberFormat="1" applyFont="1" applyBorder="1" applyAlignment="1">
      <alignment horizontal="center" vertical="center"/>
    </xf>
    <xf numFmtId="43" fontId="2" fillId="0" borderId="5" xfId="1" applyFont="1" applyBorder="1" applyAlignment="1">
      <alignment horizontal="right" vertical="center"/>
    </xf>
    <xf numFmtId="0" fontId="2" fillId="0" borderId="8" xfId="0" applyFont="1" applyBorder="1" applyAlignment="1">
      <alignment horizontal="left" vertical="center"/>
    </xf>
    <xf numFmtId="0" fontId="3" fillId="0" borderId="0" xfId="0" applyFont="1" applyBorder="1" applyAlignment="1">
      <alignment horizontal="right" vertical="center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" fillId="0" borderId="9" xfId="0" applyFont="1" applyBorder="1"/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5" fillId="0" borderId="3" xfId="0" applyFont="1" applyBorder="1" applyAlignment="1">
      <alignment horizontal="right"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vertical="top"/>
    </xf>
    <xf numFmtId="41" fontId="16" fillId="0" borderId="1" xfId="1" applyNumberFormat="1" applyFont="1" applyBorder="1" applyAlignment="1">
      <alignment vertical="top"/>
    </xf>
    <xf numFmtId="0" fontId="5" fillId="0" borderId="1" xfId="0" applyFont="1" applyBorder="1" applyAlignment="1">
      <alignment horizontal="right" vertical="top"/>
    </xf>
    <xf numFmtId="41" fontId="5" fillId="0" borderId="1" xfId="1" applyNumberFormat="1" applyFont="1" applyBorder="1" applyAlignment="1">
      <alignment vertical="top"/>
    </xf>
    <xf numFmtId="41" fontId="16" fillId="0" borderId="8" xfId="0" applyNumberFormat="1" applyFont="1" applyBorder="1" applyAlignment="1">
      <alignment vertical="top"/>
    </xf>
    <xf numFmtId="0" fontId="15" fillId="0" borderId="0" xfId="0" applyFont="1" applyAlignment="1">
      <alignment horizontal="left" vertical="top"/>
    </xf>
    <xf numFmtId="1" fontId="16" fillId="0" borderId="1" xfId="1" applyNumberFormat="1" applyFont="1" applyBorder="1" applyAlignment="1">
      <alignment horizontal="center" vertical="top"/>
    </xf>
    <xf numFmtId="0" fontId="16" fillId="0" borderId="0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16" fillId="0" borderId="1" xfId="0" applyFont="1" applyBorder="1" applyAlignment="1">
      <alignment vertical="top" wrapText="1"/>
    </xf>
    <xf numFmtId="9" fontId="16" fillId="0" borderId="1" xfId="0" applyNumberFormat="1" applyFont="1" applyBorder="1" applyAlignment="1">
      <alignment horizontal="right" vertical="top"/>
    </xf>
    <xf numFmtId="9" fontId="16" fillId="0" borderId="1" xfId="0" applyNumberFormat="1" applyFont="1" applyBorder="1" applyAlignment="1">
      <alignment vertical="top"/>
    </xf>
    <xf numFmtId="1" fontId="16" fillId="0" borderId="1" xfId="0" applyNumberFormat="1" applyFont="1" applyBorder="1" applyAlignment="1">
      <alignment vertical="top"/>
    </xf>
    <xf numFmtId="3" fontId="5" fillId="0" borderId="0" xfId="0" applyNumberFormat="1" applyFont="1" applyBorder="1" applyAlignment="1">
      <alignment vertical="top"/>
    </xf>
    <xf numFmtId="0" fontId="6" fillId="0" borderId="0" xfId="0" applyFont="1" applyBorder="1" applyAlignment="1">
      <alignment horizontal="center" vertical="top"/>
    </xf>
    <xf numFmtId="0" fontId="16" fillId="0" borderId="3" xfId="0" applyFont="1" applyBorder="1" applyAlignment="1">
      <alignment horizontal="right" vertical="top"/>
    </xf>
    <xf numFmtId="0" fontId="15" fillId="0" borderId="0" xfId="0" applyFont="1" applyBorder="1" applyAlignment="1">
      <alignment horizontal="center" vertical="top"/>
    </xf>
    <xf numFmtId="41" fontId="16" fillId="0" borderId="8" xfId="1" applyNumberFormat="1" applyFont="1" applyBorder="1" applyAlignment="1">
      <alignment vertical="top"/>
    </xf>
    <xf numFmtId="41" fontId="5" fillId="0" borderId="8" xfId="0" applyNumberFormat="1" applyFont="1" applyBorder="1" applyAlignment="1">
      <alignment vertical="top"/>
    </xf>
    <xf numFmtId="9" fontId="5" fillId="0" borderId="1" xfId="0" applyNumberFormat="1" applyFont="1" applyBorder="1" applyAlignment="1">
      <alignment vertical="top"/>
    </xf>
    <xf numFmtId="0" fontId="5" fillId="0" borderId="0" xfId="0" applyFont="1" applyBorder="1" applyAlignment="1">
      <alignment horizontal="center" vertical="top"/>
    </xf>
    <xf numFmtId="0" fontId="16" fillId="0" borderId="1" xfId="0" applyFont="1" applyBorder="1" applyAlignment="1">
      <alignment horizontal="left" vertical="top"/>
    </xf>
    <xf numFmtId="9" fontId="5" fillId="0" borderId="1" xfId="0" applyNumberFormat="1" applyFont="1" applyBorder="1" applyAlignment="1">
      <alignment horizontal="right" vertical="top"/>
    </xf>
    <xf numFmtId="0" fontId="2" fillId="0" borderId="10" xfId="0" applyFont="1" applyBorder="1"/>
    <xf numFmtId="0" fontId="2" fillId="0" borderId="8" xfId="0" applyFont="1" applyBorder="1"/>
    <xf numFmtId="0" fontId="2" fillId="0" borderId="7" xfId="0" applyFont="1" applyBorder="1"/>
    <xf numFmtId="0" fontId="2" fillId="0" borderId="6" xfId="0" applyFont="1" applyBorder="1"/>
    <xf numFmtId="0" fontId="2" fillId="0" borderId="2" xfId="0" applyFont="1" applyBorder="1"/>
    <xf numFmtId="41" fontId="5" fillId="0" borderId="8" xfId="0" applyNumberFormat="1" applyFont="1" applyBorder="1" applyAlignment="1">
      <alignment horizontal="center" vertical="top"/>
    </xf>
    <xf numFmtId="3" fontId="5" fillId="0" borderId="0" xfId="0" applyNumberFormat="1" applyFont="1" applyBorder="1" applyAlignment="1">
      <alignment horizontal="center" vertical="top"/>
    </xf>
    <xf numFmtId="0" fontId="19" fillId="0" borderId="1" xfId="0" applyFont="1" applyBorder="1" applyAlignment="1">
      <alignment horizontal="center" vertical="top"/>
    </xf>
    <xf numFmtId="0" fontId="20" fillId="0" borderId="1" xfId="0" applyFont="1" applyBorder="1" applyAlignment="1">
      <alignment horizontal="right" vertical="top"/>
    </xf>
    <xf numFmtId="0" fontId="19" fillId="0" borderId="1" xfId="0" applyFont="1" applyBorder="1" applyAlignment="1">
      <alignment vertical="top"/>
    </xf>
    <xf numFmtId="41" fontId="20" fillId="0" borderId="8" xfId="0" applyNumberFormat="1" applyFont="1" applyBorder="1" applyAlignment="1">
      <alignment horizontal="center" vertical="top"/>
    </xf>
    <xf numFmtId="41" fontId="20" fillId="0" borderId="8" xfId="0" applyNumberFormat="1" applyFont="1" applyBorder="1" applyAlignment="1">
      <alignment vertical="top"/>
    </xf>
    <xf numFmtId="41" fontId="20" fillId="0" borderId="1" xfId="1" applyNumberFormat="1" applyFont="1" applyBorder="1" applyAlignment="1">
      <alignment vertical="top"/>
    </xf>
    <xf numFmtId="9" fontId="15" fillId="0" borderId="0" xfId="3" applyFont="1" applyAlignment="1">
      <alignment horizontal="left" vertical="top"/>
    </xf>
    <xf numFmtId="9" fontId="6" fillId="0" borderId="0" xfId="3" applyFont="1" applyBorder="1" applyAlignment="1">
      <alignment horizontal="center" vertical="top"/>
    </xf>
    <xf numFmtId="9" fontId="5" fillId="0" borderId="0" xfId="3" applyFont="1" applyBorder="1" applyAlignment="1">
      <alignment vertical="top"/>
    </xf>
    <xf numFmtId="9" fontId="16" fillId="0" borderId="0" xfId="3" applyFont="1" applyBorder="1" applyAlignment="1">
      <alignment vertical="top"/>
    </xf>
    <xf numFmtId="9" fontId="16" fillId="0" borderId="1" xfId="3" applyFont="1" applyBorder="1" applyAlignment="1">
      <alignment horizontal="center" vertical="top"/>
    </xf>
    <xf numFmtId="9" fontId="16" fillId="0" borderId="0" xfId="3" applyFont="1" applyAlignment="1">
      <alignment vertical="top"/>
    </xf>
    <xf numFmtId="1" fontId="16" fillId="0" borderId="1" xfId="3" applyNumberFormat="1" applyFont="1" applyBorder="1" applyAlignment="1">
      <alignment vertical="top"/>
    </xf>
    <xf numFmtId="1" fontId="5" fillId="0" borderId="1" xfId="3" applyNumberFormat="1" applyFont="1" applyBorder="1" applyAlignment="1">
      <alignment horizontal="right" vertical="top"/>
    </xf>
    <xf numFmtId="1" fontId="20" fillId="0" borderId="1" xfId="3" applyNumberFormat="1" applyFont="1" applyBorder="1" applyAlignment="1">
      <alignment vertical="top"/>
    </xf>
    <xf numFmtId="1" fontId="20" fillId="0" borderId="1" xfId="3" applyNumberFormat="1" applyFont="1" applyBorder="1" applyAlignment="1">
      <alignment horizontal="right" vertical="top"/>
    </xf>
    <xf numFmtId="165" fontId="16" fillId="0" borderId="8" xfId="1" applyNumberFormat="1" applyFont="1" applyBorder="1" applyAlignment="1">
      <alignment horizontal="center" vertical="top"/>
    </xf>
    <xf numFmtId="165" fontId="20" fillId="0" borderId="8" xfId="0" applyNumberFormat="1" applyFont="1" applyBorder="1" applyAlignment="1">
      <alignment horizontal="center" vertical="top"/>
    </xf>
    <xf numFmtId="165" fontId="16" fillId="0" borderId="8" xfId="0" applyNumberFormat="1" applyFont="1" applyBorder="1" applyAlignment="1">
      <alignment horizontal="center" vertical="top"/>
    </xf>
    <xf numFmtId="0" fontId="17" fillId="0" borderId="0" xfId="0" applyFont="1" applyBorder="1" applyAlignment="1">
      <alignment horizontal="left" vertical="top"/>
    </xf>
    <xf numFmtId="0" fontId="17" fillId="0" borderId="0" xfId="0" applyFont="1" applyBorder="1" applyAlignment="1">
      <alignment vertical="top"/>
    </xf>
    <xf numFmtId="1" fontId="10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 wrapText="1"/>
    </xf>
    <xf numFmtId="0" fontId="18" fillId="0" borderId="0" xfId="0" applyFont="1" applyAlignment="1"/>
    <xf numFmtId="0" fontId="7" fillId="0" borderId="0" xfId="0" applyFont="1"/>
    <xf numFmtId="2" fontId="1" fillId="0" borderId="0" xfId="0" applyNumberFormat="1" applyFont="1" applyBorder="1"/>
    <xf numFmtId="2" fontId="1" fillId="0" borderId="0" xfId="0" applyNumberFormat="1" applyFont="1" applyBorder="1" applyAlignment="1">
      <alignment horizontal="right"/>
    </xf>
    <xf numFmtId="1" fontId="1" fillId="0" borderId="0" xfId="0" applyNumberFormat="1" applyFont="1" applyBorder="1"/>
    <xf numFmtId="2" fontId="1" fillId="0" borderId="0" xfId="0" applyNumberFormat="1" applyFont="1" applyBorder="1" applyAlignment="1">
      <alignment horizontal="left"/>
    </xf>
    <xf numFmtId="1" fontId="1" fillId="0" borderId="0" xfId="0" applyNumberFormat="1" applyFont="1" applyBorder="1" applyAlignment="1">
      <alignment horizontal="left"/>
    </xf>
    <xf numFmtId="1" fontId="1" fillId="0" borderId="0" xfId="0" applyNumberFormat="1" applyFont="1" applyBorder="1" applyAlignment="1">
      <alignment horizontal="right"/>
    </xf>
    <xf numFmtId="1" fontId="1" fillId="0" borderId="0" xfId="0" applyNumberFormat="1" applyFont="1" applyBorder="1" applyAlignment="1">
      <alignment horizontal="centerContinuous"/>
    </xf>
    <xf numFmtId="1" fontId="1" fillId="0" borderId="0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/>
    <xf numFmtId="2" fontId="1" fillId="0" borderId="0" xfId="0" applyNumberFormat="1" applyFont="1" applyAlignment="1"/>
    <xf numFmtId="0" fontId="1" fillId="0" borderId="0" xfId="0" applyFont="1" applyAlignment="1"/>
    <xf numFmtId="2" fontId="8" fillId="0" borderId="0" xfId="0" applyNumberFormat="1" applyFont="1" applyBorder="1" applyAlignment="1"/>
    <xf numFmtId="2" fontId="1" fillId="0" borderId="0" xfId="0" applyNumberFormat="1" applyFont="1" applyBorder="1" applyAlignment="1"/>
    <xf numFmtId="14" fontId="25" fillId="0" borderId="0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top"/>
    </xf>
    <xf numFmtId="0" fontId="1" fillId="0" borderId="5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top"/>
    </xf>
    <xf numFmtId="1" fontId="2" fillId="0" borderId="6" xfId="1" applyNumberFormat="1" applyFont="1" applyBorder="1" applyAlignment="1">
      <alignment horizontal="right" vertical="center"/>
    </xf>
    <xf numFmtId="1" fontId="2" fillId="0" borderId="7" xfId="1" applyNumberFormat="1" applyFont="1" applyBorder="1" applyAlignment="1">
      <alignment horizontal="right" vertical="center"/>
    </xf>
    <xf numFmtId="0" fontId="16" fillId="0" borderId="3" xfId="0" applyFont="1" applyBorder="1" applyAlignment="1">
      <alignment horizontal="center" vertical="top"/>
    </xf>
    <xf numFmtId="0" fontId="16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top"/>
    </xf>
    <xf numFmtId="165" fontId="10" fillId="0" borderId="0" xfId="0" applyNumberFormat="1" applyFont="1" applyBorder="1" applyAlignment="1">
      <alignment horizontal="right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2" fontId="8" fillId="0" borderId="11" xfId="0" applyNumberFormat="1" applyFont="1" applyBorder="1" applyAlignment="1">
      <alignment horizontal="center" vertical="center" textRotation="90"/>
    </xf>
    <xf numFmtId="2" fontId="8" fillId="0" borderId="4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 textRotation="90" wrapText="1"/>
    </xf>
    <xf numFmtId="1" fontId="8" fillId="0" borderId="8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left"/>
    </xf>
    <xf numFmtId="0" fontId="4" fillId="0" borderId="0" xfId="0" applyFont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41" fontId="8" fillId="2" borderId="1" xfId="1" applyNumberFormat="1" applyFont="1" applyFill="1" applyBorder="1" applyAlignment="1">
      <alignment horizontal="right" vertical="justify"/>
    </xf>
    <xf numFmtId="1" fontId="8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 applyAlignment="1">
      <alignment horizontal="center"/>
    </xf>
    <xf numFmtId="166" fontId="8" fillId="2" borderId="1" xfId="0" applyNumberFormat="1" applyFont="1" applyFill="1" applyBorder="1" applyAlignment="1">
      <alignment horizontal="right"/>
    </xf>
    <xf numFmtId="2" fontId="24" fillId="2" borderId="0" xfId="0" applyNumberFormat="1" applyFont="1" applyFill="1" applyBorder="1" applyAlignment="1">
      <alignment horizontal="center"/>
    </xf>
    <xf numFmtId="2" fontId="25" fillId="2" borderId="0" xfId="0" applyNumberFormat="1" applyFont="1" applyFill="1" applyBorder="1" applyAlignment="1">
      <alignment horizontal="right"/>
    </xf>
    <xf numFmtId="2" fontId="25" fillId="2" borderId="0" xfId="0" applyNumberFormat="1" applyFont="1" applyFill="1" applyBorder="1" applyAlignment="1">
      <alignment horizontal="center"/>
    </xf>
    <xf numFmtId="2" fontId="8" fillId="2" borderId="0" xfId="0" applyNumberFormat="1" applyFont="1" applyFill="1" applyBorder="1"/>
    <xf numFmtId="2" fontId="1" fillId="2" borderId="0" xfId="0" applyNumberFormat="1" applyFont="1" applyFill="1" applyBorder="1" applyAlignment="1">
      <alignment horizontal="right"/>
    </xf>
    <xf numFmtId="2" fontId="1" fillId="2" borderId="0" xfId="0" applyNumberFormat="1" applyFont="1" applyFill="1" applyBorder="1"/>
    <xf numFmtId="2" fontId="13" fillId="2" borderId="0" xfId="0" applyNumberFormat="1" applyFont="1" applyFill="1" applyBorder="1"/>
    <xf numFmtId="1" fontId="8" fillId="0" borderId="6" xfId="0" applyNumberFormat="1" applyFont="1" applyBorder="1" applyAlignment="1"/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3" fontId="26" fillId="0" borderId="6" xfId="1" applyFont="1" applyBorder="1" applyAlignment="1">
      <alignment horizontal="right" vertical="center"/>
    </xf>
    <xf numFmtId="43" fontId="26" fillId="0" borderId="7" xfId="1" applyFont="1" applyBorder="1" applyAlignment="1">
      <alignment horizontal="right" vertical="center"/>
    </xf>
    <xf numFmtId="43" fontId="26" fillId="0" borderId="5" xfId="1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top"/>
    </xf>
    <xf numFmtId="0" fontId="5" fillId="0" borderId="0" xfId="0" applyFont="1" applyBorder="1" applyAlignment="1">
      <alignment horizontal="right" vertical="top"/>
    </xf>
    <xf numFmtId="0" fontId="16" fillId="0" borderId="0" xfId="0" applyFont="1" applyBorder="1" applyAlignment="1">
      <alignment horizontal="right" vertical="top"/>
    </xf>
    <xf numFmtId="1" fontId="27" fillId="0" borderId="1" xfId="0" applyNumberFormat="1" applyFont="1" applyBorder="1" applyAlignment="1">
      <alignment horizontal="right"/>
    </xf>
    <xf numFmtId="2" fontId="8" fillId="0" borderId="1" xfId="0" applyNumberFormat="1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top"/>
    </xf>
    <xf numFmtId="1" fontId="8" fillId="0" borderId="6" xfId="0" applyNumberFormat="1" applyFont="1" applyBorder="1" applyAlignment="1">
      <alignment horizontal="center"/>
    </xf>
    <xf numFmtId="0" fontId="17" fillId="0" borderId="8" xfId="0" applyFont="1" applyBorder="1" applyAlignment="1">
      <alignment horizontal="left" vertical="top"/>
    </xf>
    <xf numFmtId="167" fontId="16" fillId="0" borderId="1" xfId="1" applyNumberFormat="1" applyFont="1" applyBorder="1" applyAlignment="1">
      <alignment horizontal="right" vertical="top"/>
    </xf>
    <xf numFmtId="0" fontId="16" fillId="0" borderId="6" xfId="0" applyFont="1" applyBorder="1" applyAlignment="1">
      <alignment horizontal="left" vertical="top"/>
    </xf>
    <xf numFmtId="0" fontId="16" fillId="0" borderId="6" xfId="0" applyFont="1" applyBorder="1" applyAlignment="1">
      <alignment horizontal="center" vertical="top"/>
    </xf>
    <xf numFmtId="9" fontId="16" fillId="0" borderId="5" xfId="0" applyNumberFormat="1" applyFont="1" applyBorder="1" applyAlignment="1">
      <alignment horizontal="right" vertical="top"/>
    </xf>
    <xf numFmtId="1" fontId="16" fillId="0" borderId="5" xfId="0" applyNumberFormat="1" applyFont="1" applyBorder="1" applyAlignment="1">
      <alignment horizontal="right" vertical="top"/>
    </xf>
    <xf numFmtId="1" fontId="16" fillId="0" borderId="1" xfId="0" applyNumberFormat="1" applyFont="1" applyBorder="1" applyAlignment="1">
      <alignment horizontal="right" vertical="top"/>
    </xf>
    <xf numFmtId="0" fontId="16" fillId="0" borderId="8" xfId="0" applyFont="1" applyBorder="1" applyAlignment="1">
      <alignment horizontal="left" vertical="top"/>
    </xf>
    <xf numFmtId="167" fontId="5" fillId="0" borderId="8" xfId="1" applyNumberFormat="1" applyFont="1" applyBorder="1" applyAlignment="1">
      <alignment vertical="top"/>
    </xf>
    <xf numFmtId="167" fontId="16" fillId="0" borderId="8" xfId="1" applyNumberFormat="1" applyFont="1" applyBorder="1" applyAlignment="1">
      <alignment horizontal="right" vertical="top"/>
    </xf>
    <xf numFmtId="167" fontId="16" fillId="0" borderId="1" xfId="1" applyNumberFormat="1" applyFont="1" applyBorder="1" applyAlignment="1">
      <alignment horizontal="center" vertical="top"/>
    </xf>
    <xf numFmtId="1" fontId="4" fillId="0" borderId="6" xfId="1" applyNumberFormat="1" applyFont="1" applyBorder="1" applyAlignment="1">
      <alignment horizontal="right" vertical="center"/>
    </xf>
    <xf numFmtId="1" fontId="2" fillId="0" borderId="5" xfId="1" applyNumberFormat="1" applyFont="1" applyBorder="1" applyAlignment="1">
      <alignment horizontal="right" vertical="center"/>
    </xf>
    <xf numFmtId="2" fontId="8" fillId="0" borderId="1" xfId="0" applyNumberFormat="1" applyFont="1" applyBorder="1" applyAlignment="1">
      <alignment horizontal="center" vertical="center" textRotation="90" wrapText="1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top"/>
    </xf>
    <xf numFmtId="0" fontId="3" fillId="0" borderId="0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left" vertical="top"/>
    </xf>
    <xf numFmtId="43" fontId="16" fillId="0" borderId="8" xfId="1" applyNumberFormat="1" applyFont="1" applyBorder="1" applyAlignment="1">
      <alignment vertical="top"/>
    </xf>
    <xf numFmtId="43" fontId="16" fillId="0" borderId="1" xfId="0" applyNumberFormat="1" applyFont="1" applyBorder="1" applyAlignment="1">
      <alignment vertical="top"/>
    </xf>
    <xf numFmtId="1" fontId="27" fillId="2" borderId="1" xfId="0" applyNumberFormat="1" applyFont="1" applyFill="1" applyBorder="1" applyAlignment="1">
      <alignment horizontal="right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top"/>
    </xf>
    <xf numFmtId="0" fontId="4" fillId="0" borderId="0" xfId="0" applyFont="1" applyAlignment="1">
      <alignment horizontal="right" vertical="center"/>
    </xf>
    <xf numFmtId="0" fontId="17" fillId="0" borderId="8" xfId="0" applyFont="1" applyBorder="1" applyAlignment="1">
      <alignment horizontal="left" vertical="top"/>
    </xf>
    <xf numFmtId="0" fontId="28" fillId="2" borderId="1" xfId="0" applyFont="1" applyFill="1" applyBorder="1" applyAlignment="1">
      <alignment horizontal="center"/>
    </xf>
    <xf numFmtId="1" fontId="8" fillId="0" borderId="1" xfId="4" applyNumberFormat="1" applyFont="1" applyBorder="1" applyAlignment="1">
      <alignment horizontal="right"/>
    </xf>
    <xf numFmtId="1" fontId="8" fillId="2" borderId="1" xfId="4" applyNumberFormat="1" applyFont="1" applyFill="1" applyBorder="1" applyAlignment="1">
      <alignment horizontal="right"/>
    </xf>
    <xf numFmtId="2" fontId="1" fillId="2" borderId="1" xfId="4" applyNumberFormat="1" applyFont="1" applyFill="1" applyBorder="1" applyAlignment="1">
      <alignment horizontal="center"/>
    </xf>
    <xf numFmtId="166" fontId="8" fillId="2" borderId="1" xfId="4" applyNumberFormat="1" applyFont="1" applyFill="1" applyBorder="1" applyAlignment="1">
      <alignment horizontal="right"/>
    </xf>
    <xf numFmtId="1" fontId="16" fillId="0" borderId="6" xfId="0" applyNumberFormat="1" applyFont="1" applyBorder="1" applyAlignment="1">
      <alignment horizontal="left" vertical="top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 textRotation="90"/>
    </xf>
    <xf numFmtId="1" fontId="8" fillId="0" borderId="11" xfId="0" applyNumberFormat="1" applyFont="1" applyBorder="1" applyAlignment="1">
      <alignment horizontal="center" vertical="center" textRotation="90"/>
    </xf>
    <xf numFmtId="0" fontId="0" fillId="0" borderId="4" xfId="0" applyBorder="1" applyAlignment="1"/>
    <xf numFmtId="1" fontId="4" fillId="0" borderId="0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1" fontId="8" fillId="0" borderId="8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 textRotation="90" wrapText="1"/>
    </xf>
    <xf numFmtId="2" fontId="8" fillId="0" borderId="12" xfId="0" applyNumberFormat="1" applyFont="1" applyBorder="1" applyAlignment="1">
      <alignment horizontal="center" vertical="center" textRotation="90" wrapText="1"/>
    </xf>
    <xf numFmtId="2" fontId="8" fillId="0" borderId="4" xfId="0" applyNumberFormat="1" applyFont="1" applyBorder="1" applyAlignment="1">
      <alignment horizontal="center" vertical="center" textRotation="90" wrapText="1"/>
    </xf>
    <xf numFmtId="2" fontId="8" fillId="0" borderId="11" xfId="0" applyNumberFormat="1" applyFont="1" applyBorder="1" applyAlignment="1">
      <alignment horizontal="center" vertical="center" textRotation="90"/>
    </xf>
    <xf numFmtId="2" fontId="8" fillId="0" borderId="6" xfId="0" applyNumberFormat="1" applyFont="1" applyBorder="1" applyAlignment="1">
      <alignment horizontal="center" vertical="center"/>
    </xf>
    <xf numFmtId="2" fontId="8" fillId="0" borderId="5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 textRotation="90"/>
    </xf>
    <xf numFmtId="0" fontId="21" fillId="0" borderId="13" xfId="0" applyFont="1" applyBorder="1" applyAlignment="1">
      <alignment horizontal="left" vertical="top" wrapText="1"/>
    </xf>
    <xf numFmtId="0" fontId="0" fillId="0" borderId="13" xfId="0" applyBorder="1" applyAlignment="1">
      <alignment wrapText="1"/>
    </xf>
    <xf numFmtId="0" fontId="21" fillId="0" borderId="0" xfId="0" applyFont="1" applyBorder="1" applyAlignment="1">
      <alignment horizontal="left" vertical="top" wrapText="1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1" fontId="11" fillId="0" borderId="13" xfId="0" applyNumberFormat="1" applyFont="1" applyBorder="1" applyAlignment="1">
      <alignment horizontal="left"/>
    </xf>
    <xf numFmtId="1" fontId="11" fillId="0" borderId="9" xfId="0" applyNumberFormat="1" applyFont="1" applyBorder="1" applyAlignment="1">
      <alignment horizontal="left"/>
    </xf>
    <xf numFmtId="2" fontId="11" fillId="0" borderId="5" xfId="0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1" fontId="8" fillId="0" borderId="1" xfId="0" applyNumberFormat="1" applyFont="1" applyBorder="1" applyAlignment="1">
      <alignment horizontal="center" vertical="center"/>
    </xf>
    <xf numFmtId="0" fontId="0" fillId="0" borderId="12" xfId="0" applyBorder="1"/>
    <xf numFmtId="0" fontId="0" fillId="0" borderId="4" xfId="0" applyBorder="1"/>
    <xf numFmtId="2" fontId="8" fillId="0" borderId="1" xfId="0" applyNumberFormat="1" applyFont="1" applyBorder="1" applyAlignment="1">
      <alignment horizontal="center" vertical="center" textRotation="90" wrapText="1"/>
    </xf>
    <xf numFmtId="0" fontId="4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2" fontId="8" fillId="0" borderId="12" xfId="0" applyNumberFormat="1" applyFont="1" applyBorder="1" applyAlignment="1">
      <alignment horizontal="center" vertical="center" textRotation="90"/>
    </xf>
    <xf numFmtId="2" fontId="8" fillId="0" borderId="4" xfId="0" applyNumberFormat="1" applyFont="1" applyBorder="1" applyAlignment="1">
      <alignment horizontal="center" vertical="center" textRotation="90"/>
    </xf>
    <xf numFmtId="1" fontId="8" fillId="0" borderId="6" xfId="0" applyNumberFormat="1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6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1" fillId="0" borderId="6" xfId="0" applyFont="1" applyBorder="1" applyAlignment="1">
      <alignment horizontal="justify" vertical="top" wrapText="1"/>
    </xf>
    <xf numFmtId="0" fontId="2" fillId="0" borderId="8" xfId="0" applyFont="1" applyBorder="1" applyAlignment="1">
      <alignment horizontal="justify" vertical="top" wrapText="1"/>
    </xf>
    <xf numFmtId="0" fontId="2" fillId="0" borderId="6" xfId="0" applyFont="1" applyBorder="1" applyAlignment="1">
      <alignment horizontal="justify" vertical="top" wrapText="1"/>
    </xf>
    <xf numFmtId="0" fontId="4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1" fillId="0" borderId="8" xfId="0" applyFont="1" applyBorder="1" applyAlignment="1">
      <alignment horizontal="justify" vertical="top" wrapText="1"/>
    </xf>
    <xf numFmtId="0" fontId="1" fillId="0" borderId="6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17" fillId="0" borderId="6" xfId="0" applyFont="1" applyBorder="1" applyAlignment="1">
      <alignment horizontal="left" vertical="top"/>
    </xf>
    <xf numFmtId="0" fontId="17" fillId="0" borderId="5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17" fillId="0" borderId="0" xfId="0" applyFont="1" applyBorder="1" applyAlignment="1">
      <alignment horizontal="right" vertical="top"/>
    </xf>
    <xf numFmtId="0" fontId="5" fillId="0" borderId="3" xfId="0" applyFont="1" applyBorder="1" applyAlignment="1">
      <alignment horizontal="right" vertical="top"/>
    </xf>
    <xf numFmtId="0" fontId="5" fillId="0" borderId="0" xfId="0" applyFont="1" applyBorder="1" applyAlignment="1">
      <alignment horizontal="right" vertical="top"/>
    </xf>
    <xf numFmtId="2" fontId="12" fillId="0" borderId="1" xfId="0" applyNumberFormat="1" applyFont="1" applyBorder="1" applyAlignment="1">
      <alignment horizontal="right"/>
    </xf>
    <xf numFmtId="0" fontId="22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8" fillId="0" borderId="1" xfId="0" applyNumberFormat="1" applyFont="1" applyBorder="1" applyAlignment="1">
      <alignment horizontal="center" vertical="center" textRotation="90" wrapText="1"/>
    </xf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35"/>
  <sheetViews>
    <sheetView showGridLines="0" showZeros="0" tabSelected="1" showRuler="0" view="pageBreakPreview" zoomScale="90" zoomScaleNormal="90" zoomScaleSheetLayoutView="90" workbookViewId="0">
      <selection activeCell="U7" sqref="U7"/>
    </sheetView>
  </sheetViews>
  <sheetFormatPr defaultRowHeight="12.75" x14ac:dyDescent="0.2"/>
  <cols>
    <col min="1" max="1" width="3.42578125" style="134" customWidth="1"/>
    <col min="2" max="2" width="5" style="134" customWidth="1"/>
    <col min="3" max="3" width="17.28515625" style="132" customWidth="1"/>
    <col min="4" max="4" width="5.28515625" style="132" customWidth="1"/>
    <col min="5" max="5" width="8.5703125" style="135" customWidth="1"/>
    <col min="6" max="6" width="2.7109375" style="135" customWidth="1"/>
    <col min="7" max="7" width="7.7109375" style="135" customWidth="1"/>
    <col min="8" max="8" width="4.140625" style="135" customWidth="1"/>
    <col min="9" max="9" width="4.7109375" style="132" customWidth="1"/>
    <col min="10" max="10" width="6" style="136" customWidth="1"/>
    <col min="11" max="11" width="7.7109375" style="132" customWidth="1"/>
    <col min="12" max="12" width="6.28515625" style="135" customWidth="1"/>
    <col min="13" max="13" width="2.7109375" style="135" customWidth="1"/>
    <col min="14" max="14" width="4.28515625" style="136" customWidth="1"/>
    <col min="15" max="15" width="7.5703125" style="132" customWidth="1"/>
    <col min="16" max="16" width="6.7109375" style="135" customWidth="1"/>
    <col min="17" max="17" width="3" style="135" customWidth="1"/>
    <col min="18" max="19" width="6.28515625" style="135" customWidth="1"/>
    <col min="20" max="20" width="7.85546875" style="135" customWidth="1"/>
    <col min="21" max="21" width="3.28515625" style="136" customWidth="1"/>
    <col min="22" max="23" width="6.5703125" style="132" customWidth="1"/>
    <col min="24" max="24" width="2.85546875" style="132" customWidth="1"/>
    <col min="25" max="26" width="6.5703125" style="132" customWidth="1"/>
    <col min="27" max="27" width="5.7109375" style="132" customWidth="1"/>
    <col min="28" max="28" width="4.140625" style="134" customWidth="1"/>
    <col min="29" max="29" width="5.28515625" style="132" customWidth="1"/>
    <col min="30" max="31" width="3" style="132" customWidth="1"/>
    <col min="32" max="32" width="5.5703125" style="132" customWidth="1"/>
    <col min="33" max="34" width="7.5703125" style="135" customWidth="1"/>
    <col min="35" max="35" width="9.5703125" style="132" hidden="1" customWidth="1"/>
    <col min="36" max="36" width="22.42578125" style="133" customWidth="1"/>
    <col min="37" max="38" width="9.140625" style="132"/>
    <col min="39" max="39" width="9.5703125" style="132" customWidth="1"/>
    <col min="40" max="40" width="5.42578125" style="132" customWidth="1"/>
    <col min="41" max="41" width="23.42578125" style="132" customWidth="1"/>
    <col min="42" max="42" width="9.42578125" style="132" bestFit="1" customWidth="1"/>
    <col min="43" max="43" width="10.7109375" style="132" customWidth="1"/>
    <col min="44" max="16384" width="9.140625" style="132"/>
  </cols>
  <sheetData>
    <row r="1" spans="1:36" x14ac:dyDescent="0.2">
      <c r="A1" s="275" t="s">
        <v>57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75"/>
      <c r="AA1" s="275"/>
      <c r="AB1" s="275"/>
      <c r="AC1" s="275"/>
      <c r="AD1" s="275"/>
      <c r="AE1" s="275"/>
      <c r="AF1" s="275"/>
      <c r="AG1" s="275"/>
      <c r="AH1" s="275"/>
    </row>
    <row r="2" spans="1:36" x14ac:dyDescent="0.2">
      <c r="A2" s="276" t="str">
        <f>"SALARY SHEET FOR THE MONTH OF "&amp;UPPER(TEXT(Voucer!E2,"mmmm, yyyy"))</f>
        <v>SALARY SHEET FOR THE MONTH OF AUGUST, 2021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</row>
    <row r="4" spans="1:36" s="146" customFormat="1" ht="12.75" customHeight="1" x14ac:dyDescent="0.2">
      <c r="A4" s="260" t="s">
        <v>0</v>
      </c>
      <c r="B4" s="260" t="s">
        <v>59</v>
      </c>
      <c r="C4" s="244" t="s">
        <v>1</v>
      </c>
      <c r="D4" s="244" t="s">
        <v>2</v>
      </c>
      <c r="E4" s="244" t="s">
        <v>3</v>
      </c>
      <c r="F4" s="244" t="s">
        <v>4</v>
      </c>
      <c r="G4" s="244" t="s">
        <v>38</v>
      </c>
      <c r="H4" s="244" t="s">
        <v>104</v>
      </c>
      <c r="I4" s="244" t="s">
        <v>5</v>
      </c>
      <c r="J4" s="260" t="s">
        <v>98</v>
      </c>
      <c r="K4" s="244" t="s">
        <v>56</v>
      </c>
      <c r="L4" s="256" t="s">
        <v>6</v>
      </c>
      <c r="M4" s="244" t="s">
        <v>7</v>
      </c>
      <c r="N4" s="260" t="s">
        <v>60</v>
      </c>
      <c r="O4" s="244" t="s">
        <v>8</v>
      </c>
      <c r="P4" s="253" t="s">
        <v>135</v>
      </c>
      <c r="Q4" s="253" t="s">
        <v>136</v>
      </c>
      <c r="R4" s="253" t="s">
        <v>120</v>
      </c>
      <c r="S4" s="253" t="s">
        <v>128</v>
      </c>
      <c r="T4" s="274" t="s">
        <v>61</v>
      </c>
      <c r="U4" s="250" t="s">
        <v>39</v>
      </c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2"/>
      <c r="AG4" s="244" t="s">
        <v>9</v>
      </c>
      <c r="AH4" s="244" t="s">
        <v>65</v>
      </c>
      <c r="AI4" s="145"/>
      <c r="AJ4" s="133"/>
    </row>
    <row r="5" spans="1:36" s="146" customFormat="1" x14ac:dyDescent="0.2">
      <c r="A5" s="260"/>
      <c r="B5" s="260"/>
      <c r="C5" s="244"/>
      <c r="D5" s="244"/>
      <c r="E5" s="244"/>
      <c r="F5" s="244"/>
      <c r="G5" s="244"/>
      <c r="H5" s="244"/>
      <c r="I5" s="244"/>
      <c r="J5" s="260"/>
      <c r="K5" s="244"/>
      <c r="L5" s="277"/>
      <c r="M5" s="244"/>
      <c r="N5" s="260"/>
      <c r="O5" s="244"/>
      <c r="P5" s="272"/>
      <c r="Q5" s="254"/>
      <c r="R5" s="254"/>
      <c r="S5" s="254"/>
      <c r="T5" s="274"/>
      <c r="U5" s="271" t="s">
        <v>43</v>
      </c>
      <c r="V5" s="271"/>
      <c r="W5" s="271"/>
      <c r="X5" s="271"/>
      <c r="Y5" s="257" t="s">
        <v>10</v>
      </c>
      <c r="Z5" s="258"/>
      <c r="AA5" s="259"/>
      <c r="AB5" s="250" t="s">
        <v>11</v>
      </c>
      <c r="AC5" s="251"/>
      <c r="AD5" s="251"/>
      <c r="AE5" s="251"/>
      <c r="AF5" s="252"/>
      <c r="AG5" s="244"/>
      <c r="AH5" s="244"/>
      <c r="AI5" s="145"/>
      <c r="AJ5" s="133"/>
    </row>
    <row r="6" spans="1:36" s="146" customFormat="1" ht="12.75" customHeight="1" x14ac:dyDescent="0.2">
      <c r="A6" s="260"/>
      <c r="B6" s="260"/>
      <c r="C6" s="244"/>
      <c r="D6" s="244"/>
      <c r="E6" s="244"/>
      <c r="F6" s="244"/>
      <c r="G6" s="244"/>
      <c r="H6" s="244"/>
      <c r="I6" s="244"/>
      <c r="J6" s="260"/>
      <c r="K6" s="244"/>
      <c r="L6" s="277"/>
      <c r="M6" s="244"/>
      <c r="N6" s="260"/>
      <c r="O6" s="244"/>
      <c r="P6" s="272"/>
      <c r="Q6" s="254"/>
      <c r="R6" s="254"/>
      <c r="S6" s="254"/>
      <c r="T6" s="274"/>
      <c r="U6" s="279" t="s">
        <v>42</v>
      </c>
      <c r="V6" s="280"/>
      <c r="W6" s="280"/>
      <c r="X6" s="281"/>
      <c r="Y6" s="256" t="s">
        <v>40</v>
      </c>
      <c r="Z6" s="256" t="s">
        <v>12</v>
      </c>
      <c r="AA6" s="256" t="s">
        <v>170</v>
      </c>
      <c r="AB6" s="245" t="s">
        <v>63</v>
      </c>
      <c r="AC6" s="256" t="s">
        <v>64</v>
      </c>
      <c r="AD6" s="256" t="s">
        <v>17</v>
      </c>
      <c r="AE6" s="256" t="s">
        <v>18</v>
      </c>
      <c r="AF6" s="166"/>
      <c r="AG6" s="244"/>
      <c r="AH6" s="244"/>
      <c r="AI6" s="145"/>
      <c r="AJ6" s="133"/>
    </row>
    <row r="7" spans="1:36" s="146" customFormat="1" ht="118.5" customHeight="1" x14ac:dyDescent="0.2">
      <c r="A7" s="260"/>
      <c r="B7" s="260"/>
      <c r="C7" s="244"/>
      <c r="D7" s="244"/>
      <c r="E7" s="244"/>
      <c r="F7" s="244"/>
      <c r="G7" s="244"/>
      <c r="H7" s="244"/>
      <c r="I7" s="244"/>
      <c r="J7" s="260"/>
      <c r="K7" s="244"/>
      <c r="L7" s="278"/>
      <c r="M7" s="244"/>
      <c r="N7" s="260"/>
      <c r="O7" s="244"/>
      <c r="P7" s="273"/>
      <c r="Q7" s="255"/>
      <c r="R7" s="255"/>
      <c r="S7" s="255"/>
      <c r="T7" s="274"/>
      <c r="U7" s="170" t="s">
        <v>41</v>
      </c>
      <c r="V7" s="220" t="s">
        <v>183</v>
      </c>
      <c r="W7" s="220" t="s">
        <v>184</v>
      </c>
      <c r="X7" s="202" t="s">
        <v>176</v>
      </c>
      <c r="Y7" s="246"/>
      <c r="Z7" s="246"/>
      <c r="AA7" s="246"/>
      <c r="AB7" s="246"/>
      <c r="AC7" s="246"/>
      <c r="AD7" s="246"/>
      <c r="AE7" s="246"/>
      <c r="AF7" s="167" t="s">
        <v>105</v>
      </c>
      <c r="AG7" s="244"/>
      <c r="AH7" s="244"/>
      <c r="AI7" s="145"/>
      <c r="AJ7" s="133"/>
    </row>
    <row r="8" spans="1:36" s="138" customFormat="1" x14ac:dyDescent="0.2">
      <c r="A8" s="26">
        <v>1</v>
      </c>
      <c r="B8" s="26">
        <v>2</v>
      </c>
      <c r="C8" s="26">
        <v>3</v>
      </c>
      <c r="D8" s="26">
        <v>4</v>
      </c>
      <c r="E8" s="26">
        <v>5</v>
      </c>
      <c r="F8" s="26">
        <v>6</v>
      </c>
      <c r="G8" s="26">
        <v>7</v>
      </c>
      <c r="H8" s="26">
        <v>8</v>
      </c>
      <c r="I8" s="26">
        <v>9</v>
      </c>
      <c r="J8" s="188">
        <v>10</v>
      </c>
      <c r="K8" s="26">
        <v>11</v>
      </c>
      <c r="L8" s="26">
        <v>12</v>
      </c>
      <c r="M8" s="188">
        <v>13</v>
      </c>
      <c r="N8" s="26">
        <v>14</v>
      </c>
      <c r="O8" s="26">
        <v>15</v>
      </c>
      <c r="P8" s="206">
        <v>16</v>
      </c>
      <c r="Q8" s="26">
        <v>17</v>
      </c>
      <c r="R8" s="26">
        <v>18</v>
      </c>
      <c r="S8" s="188">
        <v>19</v>
      </c>
      <c r="T8" s="26">
        <v>20</v>
      </c>
      <c r="U8" s="26">
        <v>21</v>
      </c>
      <c r="V8" s="188">
        <v>22</v>
      </c>
      <c r="W8" s="188"/>
      <c r="X8" s="26">
        <v>23</v>
      </c>
      <c r="Y8" s="188">
        <v>24</v>
      </c>
      <c r="Z8" s="26">
        <v>25</v>
      </c>
      <c r="AA8" s="188">
        <v>26</v>
      </c>
      <c r="AB8" s="26">
        <v>27</v>
      </c>
      <c r="AC8" s="188">
        <v>28</v>
      </c>
      <c r="AD8" s="26">
        <v>29</v>
      </c>
      <c r="AE8" s="188">
        <v>30</v>
      </c>
      <c r="AF8" s="27">
        <v>31</v>
      </c>
      <c r="AG8" s="188">
        <v>32</v>
      </c>
      <c r="AH8" s="26">
        <v>33</v>
      </c>
      <c r="AI8" s="26">
        <v>26</v>
      </c>
      <c r="AJ8" s="137"/>
    </row>
    <row r="9" spans="1:36" s="139" customFormat="1" x14ac:dyDescent="0.2">
      <c r="A9" s="266" t="s">
        <v>13</v>
      </c>
      <c r="B9" s="266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6"/>
      <c r="Y9" s="266"/>
      <c r="Z9" s="266"/>
      <c r="AA9" s="266"/>
      <c r="AB9" s="266"/>
      <c r="AC9" s="266"/>
      <c r="AD9" s="266"/>
      <c r="AE9" s="266"/>
      <c r="AF9" s="266"/>
      <c r="AG9" s="266"/>
      <c r="AH9" s="267"/>
      <c r="AI9" s="28"/>
      <c r="AJ9" s="137"/>
    </row>
    <row r="10" spans="1:36" s="139" customFormat="1" x14ac:dyDescent="0.2">
      <c r="A10" s="27">
        <v>1</v>
      </c>
      <c r="B10" s="27">
        <v>582</v>
      </c>
      <c r="C10" s="13" t="s">
        <v>24</v>
      </c>
      <c r="D10" s="16" t="s">
        <v>197</v>
      </c>
      <c r="E10" s="22">
        <v>45330</v>
      </c>
      <c r="F10" s="29"/>
      <c r="G10" s="178">
        <f>E10+F10</f>
        <v>45330</v>
      </c>
      <c r="H10" s="29">
        <v>0</v>
      </c>
      <c r="I10" s="29">
        <v>200</v>
      </c>
      <c r="J10" s="29">
        <v>4000</v>
      </c>
      <c r="K10" s="29">
        <f>ROUND(IF(G10&lt;=9700,IF(G10*0.5&lt;4500,4500,G10*0.5),IF(AND(G10&gt;9700,G10&lt;=16000),IF(G10*0.45&lt;4800,4800,G10*0.45),IF(AND(G10&gt;16000,G10&lt;=35500),IF(G10*0.4&lt;7000,7000,G10*0.4),IF(G10&gt;35500,IF(G10*0.35&lt;13800,13800,G10*0.35),0)))),0)</f>
        <v>15866</v>
      </c>
      <c r="L10" s="29">
        <v>1500</v>
      </c>
      <c r="M10" s="29">
        <v>0</v>
      </c>
      <c r="N10" s="29">
        <v>0</v>
      </c>
      <c r="O10" s="29">
        <f>SUM(G10:N10)</f>
        <v>66896</v>
      </c>
      <c r="P10" s="171"/>
      <c r="Q10" s="172">
        <v>0</v>
      </c>
      <c r="R10" s="29">
        <f>ROUND(G10*10%, 0)</f>
        <v>4533</v>
      </c>
      <c r="S10" s="29">
        <f>ROUND(G10*0.1,0)</f>
        <v>4533</v>
      </c>
      <c r="T10" s="29">
        <f>SUM(O10:S10)</f>
        <v>75962</v>
      </c>
      <c r="U10" s="29">
        <v>10</v>
      </c>
      <c r="V10" s="29"/>
      <c r="W10" s="29">
        <f>ROUND(G10*U10%,0)</f>
        <v>4533</v>
      </c>
      <c r="X10" s="29">
        <v>0</v>
      </c>
      <c r="Y10" s="29">
        <f>K10</f>
        <v>15866</v>
      </c>
      <c r="Z10" s="29">
        <v>3025</v>
      </c>
      <c r="AA10" s="29">
        <v>1130</v>
      </c>
      <c r="AB10" s="29">
        <v>10</v>
      </c>
      <c r="AC10" s="29">
        <v>250</v>
      </c>
      <c r="AD10" s="29">
        <v>6</v>
      </c>
      <c r="AE10" s="30">
        <v>0</v>
      </c>
      <c r="AF10" s="30">
        <v>1000</v>
      </c>
      <c r="AG10" s="29">
        <f>SUM(V10:AF10)</f>
        <v>25820</v>
      </c>
      <c r="AH10" s="29">
        <f>O10-AG10</f>
        <v>41076</v>
      </c>
      <c r="AI10" s="28"/>
      <c r="AJ10" s="137"/>
    </row>
    <row r="11" spans="1:36" x14ac:dyDescent="0.2">
      <c r="A11" s="27">
        <v>2</v>
      </c>
      <c r="B11" s="27">
        <v>82</v>
      </c>
      <c r="C11" s="13" t="s">
        <v>28</v>
      </c>
      <c r="D11" s="16" t="s">
        <v>106</v>
      </c>
      <c r="E11" s="22">
        <v>43170</v>
      </c>
      <c r="F11" s="29"/>
      <c r="G11" s="178">
        <f>E11+F11</f>
        <v>43170</v>
      </c>
      <c r="H11" s="29">
        <v>0</v>
      </c>
      <c r="I11" s="29">
        <v>0</v>
      </c>
      <c r="J11" s="29"/>
      <c r="K11" s="29">
        <f>ROUND(IF(G11&lt;=9700,IF(G11*0.5&lt;4500,4500,G11*0.5),IF(AND(G11&gt;9700,G11&lt;=16000),IF(G11*0.45&lt;4800,4800,G11*0.45),IF(AND(G11&gt;16000,G11&lt;=35500),IF(G11*0.4&lt;7000,7000,G11*0.4),IF(G11&gt;35500,IF(G11*0.35&lt;13800,13800,G11*0.35),0)))),0)</f>
        <v>15110</v>
      </c>
      <c r="L11" s="29">
        <v>1500</v>
      </c>
      <c r="M11" s="29">
        <v>0</v>
      </c>
      <c r="N11" s="29">
        <v>0</v>
      </c>
      <c r="O11" s="29">
        <f>SUM(G11:N11)</f>
        <v>59780</v>
      </c>
      <c r="P11" s="171">
        <f>ROUND(G11*41%, 0)</f>
        <v>17700</v>
      </c>
      <c r="Q11" s="172">
        <v>0</v>
      </c>
      <c r="R11" s="29">
        <v>0</v>
      </c>
      <c r="S11" s="29">
        <v>0</v>
      </c>
      <c r="T11" s="29">
        <f>SUM(O11:S11)</f>
        <v>77480</v>
      </c>
      <c r="U11" s="29">
        <v>20</v>
      </c>
      <c r="V11" s="29">
        <f>ROUND(G11*U11%,0)</f>
        <v>8634</v>
      </c>
      <c r="W11" s="29"/>
      <c r="X11" s="29">
        <v>0</v>
      </c>
      <c r="Y11" s="29">
        <f>K11</f>
        <v>15110</v>
      </c>
      <c r="Z11" s="29">
        <v>3025</v>
      </c>
      <c r="AA11" s="29">
        <v>1130</v>
      </c>
      <c r="AB11" s="29">
        <v>10</v>
      </c>
      <c r="AC11" s="29">
        <v>250</v>
      </c>
      <c r="AD11" s="29">
        <v>0</v>
      </c>
      <c r="AE11" s="30">
        <v>0</v>
      </c>
      <c r="AF11" s="30">
        <v>350</v>
      </c>
      <c r="AG11" s="29">
        <f>SUM(V11:AF11)</f>
        <v>28509</v>
      </c>
      <c r="AH11" s="29">
        <f>O11-AG11</f>
        <v>31271</v>
      </c>
      <c r="AI11" s="25"/>
    </row>
    <row r="12" spans="1:36" s="183" customFormat="1" x14ac:dyDescent="0.2">
      <c r="A12" s="27">
        <v>3</v>
      </c>
      <c r="B12" s="174">
        <v>1321</v>
      </c>
      <c r="C12" s="175" t="s">
        <v>193</v>
      </c>
      <c r="D12" s="176" t="s">
        <v>107</v>
      </c>
      <c r="E12" s="177">
        <v>25480</v>
      </c>
      <c r="F12" s="178"/>
      <c r="G12" s="178">
        <f>E12+F12</f>
        <v>25480</v>
      </c>
      <c r="H12" s="178"/>
      <c r="I12" s="178"/>
      <c r="J12" s="178"/>
      <c r="K12" s="29">
        <f>ROUND(IF(G12&lt;=9700,IF(G12*0.5&lt;4500,4500,G12*0.5),IF(AND(G12&gt;9700,G12&lt;=16000),IF(G12*0.45&lt;4800,4800,G12*0.45),IF(AND(G12&gt;16000,G12&lt;=35500),IF(G12*0.4&lt;7000,7000,G12*0.4),IF(G12&gt;35500,IF(G12*0.35&lt;13800,13800,G12*0.35),0)))),0)</f>
        <v>10192</v>
      </c>
      <c r="L12" s="29">
        <v>1500</v>
      </c>
      <c r="M12" s="178"/>
      <c r="N12" s="178"/>
      <c r="O12" s="29">
        <f>SUM(G12:N12)</f>
        <v>37172</v>
      </c>
      <c r="P12" s="179"/>
      <c r="Q12" s="179"/>
      <c r="R12" s="178">
        <f>ROUND(G12*10%, 0)</f>
        <v>2548</v>
      </c>
      <c r="S12" s="178">
        <f>ROUND(G12*0.1,0)</f>
        <v>2548</v>
      </c>
      <c r="T12" s="29">
        <f>SUM(O12:S12)</f>
        <v>42268</v>
      </c>
      <c r="U12" s="178">
        <v>10</v>
      </c>
      <c r="V12" s="178"/>
      <c r="W12" s="29">
        <f>ROUND(G12*U12%,0)</f>
        <v>2548</v>
      </c>
      <c r="X12" s="178">
        <v>0</v>
      </c>
      <c r="Y12" s="178">
        <v>0</v>
      </c>
      <c r="Z12" s="178"/>
      <c r="AA12" s="178"/>
      <c r="AB12" s="178">
        <v>10</v>
      </c>
      <c r="AC12" s="178">
        <f>IF(G12*1%&gt;200,200,ROUND(G12*1%,0))</f>
        <v>200</v>
      </c>
      <c r="AD12" s="178">
        <v>0</v>
      </c>
      <c r="AE12" s="180">
        <v>0</v>
      </c>
      <c r="AF12" s="180">
        <v>250</v>
      </c>
      <c r="AG12" s="29">
        <f>SUM(V12:AF12)</f>
        <v>3008</v>
      </c>
      <c r="AH12" s="178">
        <f>O12-AG12</f>
        <v>34164</v>
      </c>
      <c r="AI12" s="181"/>
      <c r="AJ12" s="182"/>
    </row>
    <row r="13" spans="1:36" s="183" customFormat="1" x14ac:dyDescent="0.2">
      <c r="A13" s="27">
        <v>4</v>
      </c>
      <c r="B13" s="174">
        <v>1598</v>
      </c>
      <c r="C13" s="175" t="s">
        <v>200</v>
      </c>
      <c r="D13" s="176" t="s">
        <v>107</v>
      </c>
      <c r="E13" s="177">
        <v>25480</v>
      </c>
      <c r="F13" s="178"/>
      <c r="G13" s="178">
        <f>E13+F13</f>
        <v>25480</v>
      </c>
      <c r="H13" s="178"/>
      <c r="I13" s="178"/>
      <c r="J13" s="178"/>
      <c r="K13" s="29">
        <f>ROUND(IF(G13&lt;=9700,IF(G13*0.5&lt;4500,4500,G13*0.5),IF(AND(G13&gt;9700,G13&lt;=16000),IF(G13*0.45&lt;4800,4800,G13*0.45),IF(AND(G13&gt;16000,G13&lt;=35500),IF(G13*0.4&lt;7000,7000,G13*0.4),IF(G13&gt;35500,IF(G13*0.35&lt;13800,13800,G13*0.35),0)))),0)</f>
        <v>10192</v>
      </c>
      <c r="L13" s="29">
        <v>1500</v>
      </c>
      <c r="M13" s="178"/>
      <c r="N13" s="178"/>
      <c r="O13" s="29">
        <f>SUM(G13:N13)</f>
        <v>37172</v>
      </c>
      <c r="P13" s="179"/>
      <c r="Q13" s="179"/>
      <c r="R13" s="178">
        <f>ROUND(G13*10%, 0)</f>
        <v>2548</v>
      </c>
      <c r="S13" s="178">
        <f>ROUND(G13*0.1,0)</f>
        <v>2548</v>
      </c>
      <c r="T13" s="29">
        <f>SUM(O13:S13)</f>
        <v>42268</v>
      </c>
      <c r="U13" s="178">
        <v>10</v>
      </c>
      <c r="V13" s="178"/>
      <c r="W13" s="29">
        <f>ROUND(G13*U13%,0)</f>
        <v>2548</v>
      </c>
      <c r="X13" s="178">
        <v>0</v>
      </c>
      <c r="Y13" s="178">
        <v>0</v>
      </c>
      <c r="Z13" s="178">
        <v>3025</v>
      </c>
      <c r="AA13" s="178">
        <v>1600</v>
      </c>
      <c r="AB13" s="178">
        <v>10</v>
      </c>
      <c r="AC13" s="178">
        <v>200</v>
      </c>
      <c r="AD13" s="178">
        <v>0</v>
      </c>
      <c r="AE13" s="180">
        <v>0</v>
      </c>
      <c r="AF13" s="180">
        <v>334</v>
      </c>
      <c r="AG13" s="29">
        <f>SUM(V13:AF13)</f>
        <v>7717</v>
      </c>
      <c r="AH13" s="178">
        <f>O13-AG13</f>
        <v>29455</v>
      </c>
      <c r="AI13" s="181"/>
      <c r="AJ13" s="182"/>
    </row>
    <row r="14" spans="1:36" s="183" customFormat="1" x14ac:dyDescent="0.2">
      <c r="A14" s="27">
        <v>5</v>
      </c>
      <c r="B14" s="174">
        <v>1600</v>
      </c>
      <c r="C14" s="175" t="s">
        <v>201</v>
      </c>
      <c r="D14" s="236" t="s">
        <v>202</v>
      </c>
      <c r="E14" s="177">
        <v>16000</v>
      </c>
      <c r="F14" s="238"/>
      <c r="G14" s="238">
        <v>16000</v>
      </c>
      <c r="H14" s="238"/>
      <c r="I14" s="238"/>
      <c r="J14" s="238"/>
      <c r="K14" s="237">
        <v>7200</v>
      </c>
      <c r="L14" s="237">
        <v>1500</v>
      </c>
      <c r="M14" s="238"/>
      <c r="N14" s="238"/>
      <c r="O14" s="237">
        <v>24700</v>
      </c>
      <c r="P14" s="239"/>
      <c r="Q14" s="239"/>
      <c r="R14" s="238">
        <v>1600</v>
      </c>
      <c r="S14" s="238">
        <v>1600</v>
      </c>
      <c r="T14" s="237">
        <v>27900</v>
      </c>
      <c r="U14" s="238">
        <v>10</v>
      </c>
      <c r="V14" s="238"/>
      <c r="W14" s="237">
        <v>1600</v>
      </c>
      <c r="X14" s="238">
        <v>0</v>
      </c>
      <c r="Y14" s="238">
        <v>0</v>
      </c>
      <c r="Z14" s="238"/>
      <c r="AA14" s="238"/>
      <c r="AB14" s="238">
        <v>10</v>
      </c>
      <c r="AC14" s="238">
        <v>200</v>
      </c>
      <c r="AD14" s="238">
        <v>0</v>
      </c>
      <c r="AE14" s="240">
        <v>0</v>
      </c>
      <c r="AF14" s="240">
        <v>0</v>
      </c>
      <c r="AG14" s="237">
        <v>1810</v>
      </c>
      <c r="AH14" s="238">
        <v>22890</v>
      </c>
      <c r="AI14" s="181"/>
      <c r="AJ14" s="182"/>
    </row>
    <row r="15" spans="1:36" s="183" customFormat="1" x14ac:dyDescent="0.2">
      <c r="A15" s="269" t="s">
        <v>36</v>
      </c>
      <c r="B15" s="269"/>
      <c r="C15" s="269"/>
      <c r="D15" s="269"/>
      <c r="E15" s="201">
        <f>SUM(E10:E14)</f>
        <v>155460</v>
      </c>
      <c r="F15" s="201">
        <f>SUM(F10:F11)</f>
        <v>0</v>
      </c>
      <c r="G15" s="201">
        <f>SUM(G10:G14)</f>
        <v>155460</v>
      </c>
      <c r="H15" s="201">
        <f>SUM(H10:H11)</f>
        <v>0</v>
      </c>
      <c r="I15" s="201">
        <f>SUM(I10:I11)</f>
        <v>200</v>
      </c>
      <c r="J15" s="201">
        <f>SUM(J10:J11)</f>
        <v>4000</v>
      </c>
      <c r="K15" s="201">
        <f t="shared" ref="K15:T15" si="0">SUM(K10:K14)</f>
        <v>58560</v>
      </c>
      <c r="L15" s="201">
        <f t="shared" si="0"/>
        <v>7500</v>
      </c>
      <c r="M15" s="201">
        <f t="shared" si="0"/>
        <v>0</v>
      </c>
      <c r="N15" s="201">
        <f t="shared" si="0"/>
        <v>0</v>
      </c>
      <c r="O15" s="201">
        <f t="shared" si="0"/>
        <v>225720</v>
      </c>
      <c r="P15" s="201">
        <f>SUM(P10:P14)</f>
        <v>17700</v>
      </c>
      <c r="Q15" s="201">
        <f t="shared" si="0"/>
        <v>0</v>
      </c>
      <c r="R15" s="201">
        <f t="shared" si="0"/>
        <v>11229</v>
      </c>
      <c r="S15" s="201">
        <f t="shared" si="0"/>
        <v>11229</v>
      </c>
      <c r="T15" s="201">
        <f t="shared" si="0"/>
        <v>265878</v>
      </c>
      <c r="U15" s="201"/>
      <c r="V15" s="201">
        <f t="shared" ref="V15:AH15" si="1">SUM(V10:V14)</f>
        <v>8634</v>
      </c>
      <c r="W15" s="201">
        <f t="shared" si="1"/>
        <v>11229</v>
      </c>
      <c r="X15" s="201">
        <f t="shared" si="1"/>
        <v>0</v>
      </c>
      <c r="Y15" s="201">
        <f t="shared" si="1"/>
        <v>30976</v>
      </c>
      <c r="Z15" s="201">
        <f t="shared" si="1"/>
        <v>9075</v>
      </c>
      <c r="AA15" s="201">
        <f t="shared" si="1"/>
        <v>3860</v>
      </c>
      <c r="AB15" s="201">
        <f t="shared" si="1"/>
        <v>50</v>
      </c>
      <c r="AC15" s="201">
        <f t="shared" si="1"/>
        <v>1100</v>
      </c>
      <c r="AD15" s="201">
        <f t="shared" si="1"/>
        <v>6</v>
      </c>
      <c r="AE15" s="201">
        <f t="shared" si="1"/>
        <v>0</v>
      </c>
      <c r="AF15" s="201">
        <f t="shared" si="1"/>
        <v>1934</v>
      </c>
      <c r="AG15" s="201">
        <f t="shared" si="1"/>
        <v>66864</v>
      </c>
      <c r="AH15" s="201">
        <f t="shared" si="1"/>
        <v>158856</v>
      </c>
      <c r="AI15" s="181"/>
      <c r="AJ15" s="182"/>
    </row>
    <row r="16" spans="1:36" s="4" customFormat="1" x14ac:dyDescent="0.2">
      <c r="A16" s="268" t="s">
        <v>14</v>
      </c>
      <c r="B16" s="268"/>
      <c r="C16" s="268"/>
      <c r="D16" s="268"/>
      <c r="E16" s="268"/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68"/>
      <c r="Y16" s="268"/>
      <c r="Z16" s="268"/>
      <c r="AA16" s="268"/>
      <c r="AB16" s="268"/>
      <c r="AC16" s="268"/>
      <c r="AD16" s="268"/>
      <c r="AE16" s="268"/>
      <c r="AF16" s="268"/>
      <c r="AG16" s="268"/>
      <c r="AH16" s="268"/>
      <c r="AI16" s="201">
        <f>SUM(AI10:AI14)</f>
        <v>0</v>
      </c>
      <c r="AJ16" s="5"/>
    </row>
    <row r="17" spans="1:36" x14ac:dyDescent="0.2">
      <c r="A17" s="174">
        <v>1</v>
      </c>
      <c r="B17" s="174">
        <v>74</v>
      </c>
      <c r="C17" s="175" t="s">
        <v>32</v>
      </c>
      <c r="D17" s="176" t="s">
        <v>169</v>
      </c>
      <c r="E17" s="177">
        <v>20290</v>
      </c>
      <c r="F17" s="178">
        <v>0</v>
      </c>
      <c r="G17" s="178">
        <f>E17+F17</f>
        <v>20290</v>
      </c>
      <c r="H17" s="178">
        <v>0</v>
      </c>
      <c r="I17" s="178">
        <v>0</v>
      </c>
      <c r="J17" s="178">
        <v>0</v>
      </c>
      <c r="K17" s="29">
        <f>ROUND(IF(G17&lt;=9700,IF(G17*0.5&lt;4500,4500,G17*0.5),IF(AND(G17&gt;9700,G17&lt;=16000),IF(G17*0.45&lt;4800,4800,G17*0.45),IF(AND(G17&gt;16000,G17&lt;=35500),IF(G17*0.4&lt;7000,7000,G17*0.4),IF(G17&gt;35500,IF(G17*0.35&lt;13800,13800,G17*0.35),0)))),0)</f>
        <v>8116</v>
      </c>
      <c r="L17" s="178">
        <v>1500</v>
      </c>
      <c r="M17" s="178"/>
      <c r="N17" s="178">
        <v>100</v>
      </c>
      <c r="O17" s="178">
        <f>SUM(G17:N17)</f>
        <v>30006</v>
      </c>
      <c r="P17" s="178">
        <f>ROUND(G17*41%, 0)</f>
        <v>8319</v>
      </c>
      <c r="Q17" s="178">
        <v>0</v>
      </c>
      <c r="R17" s="178">
        <v>0</v>
      </c>
      <c r="S17" s="178">
        <v>0</v>
      </c>
      <c r="T17" s="178">
        <f>SUM(O17:S17)</f>
        <v>38325</v>
      </c>
      <c r="U17" s="178">
        <v>10</v>
      </c>
      <c r="V17" s="178">
        <f>ROUND(G17*U17%,0)</f>
        <v>2029</v>
      </c>
      <c r="W17" s="178"/>
      <c r="X17" s="178">
        <v>0</v>
      </c>
      <c r="Y17" s="178">
        <f>K17</f>
        <v>8116</v>
      </c>
      <c r="Z17" s="178">
        <v>3025</v>
      </c>
      <c r="AA17" s="178"/>
      <c r="AB17" s="178">
        <v>10</v>
      </c>
      <c r="AC17" s="178">
        <v>100</v>
      </c>
      <c r="AD17" s="178">
        <v>0</v>
      </c>
      <c r="AE17" s="178">
        <v>20</v>
      </c>
      <c r="AF17" s="178">
        <v>0</v>
      </c>
      <c r="AG17" s="178">
        <f>SUM(V17:AF17)</f>
        <v>13300</v>
      </c>
      <c r="AH17" s="178">
        <f>O17-AG17</f>
        <v>16706</v>
      </c>
      <c r="AI17" s="25"/>
    </row>
    <row r="18" spans="1:36" s="186" customFormat="1" x14ac:dyDescent="0.2">
      <c r="A18" s="174">
        <v>2</v>
      </c>
      <c r="B18" s="174">
        <v>16</v>
      </c>
      <c r="C18" s="175" t="s">
        <v>34</v>
      </c>
      <c r="D18" s="176" t="s">
        <v>169</v>
      </c>
      <c r="E18" s="177">
        <v>20280</v>
      </c>
      <c r="F18" s="177"/>
      <c r="G18" s="178">
        <f>E18+F18</f>
        <v>20280</v>
      </c>
      <c r="H18" s="178">
        <v>0</v>
      </c>
      <c r="I18" s="178">
        <v>0</v>
      </c>
      <c r="J18" s="178">
        <v>0</v>
      </c>
      <c r="K18" s="29">
        <f>ROUND(IF(G18&lt;=9700,IF(G18*0.5&lt;4500,4500,G18*0.5),IF(AND(G18&gt;9700,G18&lt;=16000),IF(G18*0.45&lt;4800,4800,G18*0.45),IF(AND(G18&gt;16000,G18&lt;=35500),IF(G18*0.4&lt;7000,7000,G18*0.4),IF(G18&gt;35500,IF(G18*0.35&lt;13800,13800,G18*0.35),0)))),0)</f>
        <v>8112</v>
      </c>
      <c r="L18" s="178">
        <v>1500</v>
      </c>
      <c r="M18" s="178"/>
      <c r="N18" s="178">
        <v>100</v>
      </c>
      <c r="O18" s="178">
        <f>SUM(G18:N18)</f>
        <v>29992</v>
      </c>
      <c r="P18" s="178">
        <f>ROUND(G18*41%, 0)</f>
        <v>8315</v>
      </c>
      <c r="Q18" s="178">
        <v>0</v>
      </c>
      <c r="R18" s="178">
        <v>0</v>
      </c>
      <c r="S18" s="178">
        <v>0</v>
      </c>
      <c r="T18" s="178">
        <f>SUM(O18:S18)</f>
        <v>38307</v>
      </c>
      <c r="U18" s="178">
        <v>20</v>
      </c>
      <c r="V18" s="178">
        <f>ROUND(G18*U18%,0)</f>
        <v>4056</v>
      </c>
      <c r="W18" s="178"/>
      <c r="X18" s="178">
        <v>0</v>
      </c>
      <c r="Y18" s="178">
        <f>K18</f>
        <v>8112</v>
      </c>
      <c r="Z18" s="178">
        <v>3025</v>
      </c>
      <c r="AA18" s="178"/>
      <c r="AB18" s="178">
        <v>10</v>
      </c>
      <c r="AC18" s="178">
        <v>100</v>
      </c>
      <c r="AD18" s="178">
        <v>0</v>
      </c>
      <c r="AE18" s="178">
        <v>0</v>
      </c>
      <c r="AF18" s="178">
        <v>0</v>
      </c>
      <c r="AG18" s="178">
        <f>SUM(V18:AF18)</f>
        <v>15303</v>
      </c>
      <c r="AH18" s="178">
        <f>O18-AG18</f>
        <v>14689</v>
      </c>
      <c r="AI18" s="184"/>
      <c r="AJ18" s="185"/>
    </row>
    <row r="19" spans="1:36" s="186" customFormat="1" x14ac:dyDescent="0.2">
      <c r="A19" s="269" t="s">
        <v>36</v>
      </c>
      <c r="B19" s="269"/>
      <c r="C19" s="269"/>
      <c r="D19" s="269"/>
      <c r="E19" s="201">
        <f t="shared" ref="E19:T19" si="2">SUM(E17:E18)</f>
        <v>40570</v>
      </c>
      <c r="F19" s="201">
        <f t="shared" si="2"/>
        <v>0</v>
      </c>
      <c r="G19" s="201">
        <f t="shared" si="2"/>
        <v>40570</v>
      </c>
      <c r="H19" s="201">
        <f t="shared" si="2"/>
        <v>0</v>
      </c>
      <c r="I19" s="201">
        <f t="shared" si="2"/>
        <v>0</v>
      </c>
      <c r="J19" s="201">
        <f t="shared" si="2"/>
        <v>0</v>
      </c>
      <c r="K19" s="201">
        <f t="shared" si="2"/>
        <v>16228</v>
      </c>
      <c r="L19" s="201">
        <f t="shared" si="2"/>
        <v>3000</v>
      </c>
      <c r="M19" s="201">
        <f t="shared" si="2"/>
        <v>0</v>
      </c>
      <c r="N19" s="201">
        <f t="shared" si="2"/>
        <v>200</v>
      </c>
      <c r="O19" s="201">
        <f t="shared" si="2"/>
        <v>59998</v>
      </c>
      <c r="P19" s="230">
        <f t="shared" si="2"/>
        <v>16634</v>
      </c>
      <c r="Q19" s="201">
        <f t="shared" si="2"/>
        <v>0</v>
      </c>
      <c r="R19" s="201">
        <f t="shared" si="2"/>
        <v>0</v>
      </c>
      <c r="S19" s="201">
        <f t="shared" si="2"/>
        <v>0</v>
      </c>
      <c r="T19" s="201">
        <f t="shared" si="2"/>
        <v>76632</v>
      </c>
      <c r="U19" s="201"/>
      <c r="V19" s="201">
        <f t="shared" ref="V19:AH19" si="3">SUM(V17:V18)</f>
        <v>6085</v>
      </c>
      <c r="W19" s="201">
        <f t="shared" si="3"/>
        <v>0</v>
      </c>
      <c r="X19" s="201">
        <f t="shared" si="3"/>
        <v>0</v>
      </c>
      <c r="Y19" s="201">
        <f t="shared" si="3"/>
        <v>16228</v>
      </c>
      <c r="Z19" s="201">
        <f t="shared" si="3"/>
        <v>6050</v>
      </c>
      <c r="AA19" s="201">
        <f t="shared" si="3"/>
        <v>0</v>
      </c>
      <c r="AB19" s="201">
        <f t="shared" si="3"/>
        <v>20</v>
      </c>
      <c r="AC19" s="201">
        <f t="shared" si="3"/>
        <v>200</v>
      </c>
      <c r="AD19" s="201">
        <f t="shared" si="3"/>
        <v>0</v>
      </c>
      <c r="AE19" s="201">
        <f t="shared" si="3"/>
        <v>20</v>
      </c>
      <c r="AF19" s="201">
        <f t="shared" si="3"/>
        <v>0</v>
      </c>
      <c r="AG19" s="201">
        <f t="shared" si="3"/>
        <v>28603</v>
      </c>
      <c r="AH19" s="201">
        <f t="shared" si="3"/>
        <v>31395</v>
      </c>
      <c r="AI19" s="187"/>
      <c r="AJ19" s="185"/>
    </row>
    <row r="20" spans="1:36" s="4" customFormat="1" x14ac:dyDescent="0.2">
      <c r="A20" s="20"/>
      <c r="B20" s="20"/>
      <c r="C20" s="20"/>
      <c r="D20" s="20"/>
      <c r="E20" s="23"/>
      <c r="F20" s="160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126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01">
        <f>SUM(AI18:AI19)</f>
        <v>0</v>
      </c>
      <c r="AJ20" s="5"/>
    </row>
    <row r="21" spans="1:36" s="18" customFormat="1" x14ac:dyDescent="0.2">
      <c r="A21" s="270" t="s">
        <v>37</v>
      </c>
      <c r="B21" s="270"/>
      <c r="C21" s="270"/>
      <c r="D21" s="270"/>
      <c r="E21" s="24">
        <f t="shared" ref="E21:N21" si="4">E15+E19</f>
        <v>196030</v>
      </c>
      <c r="F21" s="24">
        <f t="shared" si="4"/>
        <v>0</v>
      </c>
      <c r="G21" s="24">
        <f t="shared" si="4"/>
        <v>196030</v>
      </c>
      <c r="H21" s="24">
        <f t="shared" si="4"/>
        <v>0</v>
      </c>
      <c r="I21" s="24">
        <f t="shared" si="4"/>
        <v>200</v>
      </c>
      <c r="J21" s="24">
        <f t="shared" si="4"/>
        <v>4000</v>
      </c>
      <c r="K21" s="24">
        <f t="shared" si="4"/>
        <v>74788</v>
      </c>
      <c r="L21" s="24">
        <f t="shared" si="4"/>
        <v>10500</v>
      </c>
      <c r="M21" s="24">
        <f t="shared" si="4"/>
        <v>0</v>
      </c>
      <c r="N21" s="24">
        <f t="shared" si="4"/>
        <v>200</v>
      </c>
      <c r="O21" s="24">
        <f>ROUND(O15+O19,0)</f>
        <v>285718</v>
      </c>
      <c r="P21" s="24">
        <f t="shared" ref="P21:AH21" si="5">P15+P19</f>
        <v>34334</v>
      </c>
      <c r="Q21" s="24">
        <f t="shared" si="5"/>
        <v>0</v>
      </c>
      <c r="R21" s="24">
        <f t="shared" si="5"/>
        <v>11229</v>
      </c>
      <c r="S21" s="24">
        <f t="shared" si="5"/>
        <v>11229</v>
      </c>
      <c r="T21" s="24">
        <f t="shared" si="5"/>
        <v>342510</v>
      </c>
      <c r="U21" s="24">
        <f t="shared" si="5"/>
        <v>0</v>
      </c>
      <c r="V21" s="24">
        <f t="shared" si="5"/>
        <v>14719</v>
      </c>
      <c r="W21" s="24">
        <f t="shared" si="5"/>
        <v>11229</v>
      </c>
      <c r="X21" s="24">
        <f t="shared" si="5"/>
        <v>0</v>
      </c>
      <c r="Y21" s="24">
        <f t="shared" si="5"/>
        <v>47204</v>
      </c>
      <c r="Z21" s="24">
        <f t="shared" si="5"/>
        <v>15125</v>
      </c>
      <c r="AA21" s="24">
        <f t="shared" si="5"/>
        <v>3860</v>
      </c>
      <c r="AB21" s="24">
        <f t="shared" si="5"/>
        <v>70</v>
      </c>
      <c r="AC21" s="24">
        <f t="shared" si="5"/>
        <v>1300</v>
      </c>
      <c r="AD21" s="24">
        <f t="shared" si="5"/>
        <v>6</v>
      </c>
      <c r="AE21" s="24">
        <f t="shared" si="5"/>
        <v>20</v>
      </c>
      <c r="AF21" s="24">
        <f t="shared" si="5"/>
        <v>1934</v>
      </c>
      <c r="AG21" s="24">
        <f t="shared" si="5"/>
        <v>95467</v>
      </c>
      <c r="AH21" s="24">
        <f t="shared" si="5"/>
        <v>190251</v>
      </c>
      <c r="AI21" s="19"/>
      <c r="AJ21" s="21"/>
    </row>
    <row r="22" spans="1:36" s="4" customFormat="1" x14ac:dyDescent="0.2">
      <c r="A22" s="261" t="e">
        <f ca="1">"Salary for the month of "&amp;TEXT(Voucer!E2,"mmmm, yyyy")&amp;" for Officer &amp; Non-officer employees amounting to Tk. "&amp;O21&amp;" ("&amp;spellcurr(O21,"Taka")&amp;")"&amp;" may be paid by debiting 639/640 (Administrative Overhead Control A/c.).  "</f>
        <v>#NAME?</v>
      </c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J22" s="5"/>
    </row>
    <row r="23" spans="1:36" s="33" customFormat="1" x14ac:dyDescent="0.2">
      <c r="A23" s="263"/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4"/>
      <c r="Q23" s="264"/>
      <c r="R23" s="264"/>
      <c r="S23" s="264"/>
      <c r="T23" s="264"/>
      <c r="U23" s="264"/>
      <c r="V23" s="264"/>
      <c r="W23" s="264"/>
      <c r="X23" s="264"/>
      <c r="Y23" s="264"/>
      <c r="Z23" s="264"/>
      <c r="AA23" s="264"/>
      <c r="AB23" s="264"/>
      <c r="AC23" s="264"/>
      <c r="AD23" s="264"/>
      <c r="AE23" s="264"/>
      <c r="AF23" s="264"/>
      <c r="AG23" s="264"/>
      <c r="AH23" s="264"/>
    </row>
    <row r="24" spans="1:36" s="33" customFormat="1" x14ac:dyDescent="0.2">
      <c r="A24" s="263"/>
      <c r="B24" s="264"/>
      <c r="C24" s="264"/>
      <c r="D24" s="264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264"/>
      <c r="Q24" s="264"/>
      <c r="R24" s="264"/>
      <c r="S24" s="264"/>
      <c r="T24" s="264"/>
      <c r="U24" s="264"/>
      <c r="V24" s="264"/>
      <c r="W24" s="264"/>
      <c r="X24" s="264"/>
      <c r="Y24" s="264"/>
      <c r="Z24" s="264"/>
      <c r="AA24" s="264"/>
      <c r="AB24" s="264"/>
      <c r="AC24" s="264"/>
      <c r="AD24" s="264"/>
      <c r="AE24" s="264"/>
      <c r="AF24" s="264"/>
      <c r="AG24" s="264"/>
      <c r="AH24" s="264"/>
    </row>
    <row r="25" spans="1:36" s="33" customFormat="1" x14ac:dyDescent="0.2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</row>
    <row r="26" spans="1:36" s="33" customFormat="1" x14ac:dyDescent="0.2">
      <c r="A26" s="134"/>
      <c r="B26" s="134"/>
      <c r="C26" s="10" t="s">
        <v>44</v>
      </c>
      <c r="D26" s="140"/>
      <c r="E26" s="141"/>
      <c r="F26" s="140"/>
      <c r="G26" s="142"/>
      <c r="H26" s="142"/>
      <c r="I26" s="132"/>
      <c r="J26" s="142"/>
      <c r="K26" s="249" t="s">
        <v>167</v>
      </c>
      <c r="L26" s="249"/>
      <c r="M26" s="140"/>
      <c r="N26" s="136"/>
      <c r="O26" s="132"/>
      <c r="P26" s="135"/>
      <c r="Q26" s="135"/>
      <c r="R26" s="135"/>
      <c r="S26" s="135"/>
      <c r="T26" s="1"/>
      <c r="U26" s="142"/>
      <c r="V26" s="132"/>
      <c r="W26" s="132"/>
      <c r="X26" s="249" t="s">
        <v>16</v>
      </c>
      <c r="Y26" s="249"/>
      <c r="Z26" s="249"/>
      <c r="AA26" s="249"/>
      <c r="AB26" s="249"/>
      <c r="AC26" s="249"/>
      <c r="AD26" s="249"/>
      <c r="AE26" s="140"/>
      <c r="AF26" s="140"/>
      <c r="AG26" s="135"/>
      <c r="AH26" s="142"/>
    </row>
    <row r="27" spans="1:36" x14ac:dyDescent="0.2">
      <c r="C27" s="141"/>
      <c r="D27" s="140"/>
      <c r="E27" s="141"/>
      <c r="F27" s="140"/>
      <c r="G27" s="142"/>
      <c r="H27" s="142"/>
      <c r="I27" s="141"/>
      <c r="J27" s="142"/>
      <c r="K27" s="140"/>
      <c r="L27" s="140"/>
      <c r="M27" s="140"/>
      <c r="AB27" s="141"/>
      <c r="AD27" s="1"/>
    </row>
    <row r="28" spans="1:36" x14ac:dyDescent="0.2">
      <c r="C28" s="141"/>
      <c r="D28" s="140"/>
      <c r="E28" s="141"/>
      <c r="F28" s="140"/>
      <c r="G28" s="142"/>
      <c r="H28" s="142"/>
      <c r="I28" s="141"/>
      <c r="J28" s="142"/>
      <c r="K28" s="140"/>
      <c r="L28" s="140"/>
      <c r="M28" s="140"/>
      <c r="AB28" s="141"/>
      <c r="AD28" s="1"/>
    </row>
    <row r="29" spans="1:36" x14ac:dyDescent="0.2">
      <c r="C29" s="141"/>
      <c r="D29" s="140"/>
      <c r="E29" s="141"/>
      <c r="F29" s="140"/>
      <c r="G29" s="142"/>
      <c r="H29" s="142"/>
      <c r="I29" s="141"/>
      <c r="J29" s="142"/>
      <c r="K29" s="140"/>
      <c r="L29" s="140"/>
      <c r="M29" s="140"/>
      <c r="AB29" s="141"/>
      <c r="AD29" s="1"/>
    </row>
    <row r="30" spans="1:36" x14ac:dyDescent="0.2">
      <c r="C30" s="141"/>
      <c r="D30" s="140"/>
      <c r="E30" s="141"/>
      <c r="F30" s="140"/>
      <c r="G30" s="142"/>
      <c r="H30" s="142"/>
      <c r="I30" s="141"/>
      <c r="J30" s="142"/>
      <c r="K30" s="140"/>
      <c r="L30" s="140"/>
      <c r="M30" s="140"/>
      <c r="AB30" s="141"/>
      <c r="AD30" s="1"/>
    </row>
    <row r="31" spans="1:36" x14ac:dyDescent="0.2">
      <c r="C31" s="141"/>
      <c r="D31" s="140"/>
      <c r="E31" s="141"/>
      <c r="F31" s="140"/>
      <c r="G31" s="142"/>
      <c r="H31" s="142"/>
      <c r="I31" s="141"/>
      <c r="J31" s="142"/>
      <c r="K31" s="140"/>
      <c r="L31" s="140"/>
      <c r="M31" s="140"/>
      <c r="AB31" s="141"/>
      <c r="AD31" s="1"/>
    </row>
    <row r="32" spans="1:36" x14ac:dyDescent="0.2">
      <c r="C32" s="141"/>
      <c r="D32" s="140"/>
      <c r="E32" s="141"/>
      <c r="F32" s="140"/>
      <c r="G32" s="142"/>
      <c r="H32" s="142"/>
      <c r="I32" s="141"/>
      <c r="J32" s="142"/>
      <c r="K32" s="140"/>
      <c r="L32" s="140"/>
      <c r="M32" s="140"/>
      <c r="AB32" s="141"/>
      <c r="AD32" s="1"/>
    </row>
    <row r="33" spans="3:34" x14ac:dyDescent="0.2">
      <c r="C33" s="248" t="s">
        <v>205</v>
      </c>
      <c r="D33" s="248"/>
      <c r="E33" s="248"/>
      <c r="F33" s="248"/>
      <c r="I33" s="35"/>
      <c r="K33" s="248" t="s">
        <v>206</v>
      </c>
      <c r="L33" s="248"/>
      <c r="M33" s="248"/>
      <c r="N33" s="248"/>
      <c r="O33" s="248"/>
      <c r="P33" s="248"/>
      <c r="X33" s="247" t="s">
        <v>168</v>
      </c>
      <c r="Y33" s="247"/>
      <c r="Z33" s="247"/>
      <c r="AA33" s="247"/>
      <c r="AB33" s="247"/>
      <c r="AC33" s="247"/>
      <c r="AD33" s="247"/>
      <c r="AE33" s="247"/>
      <c r="AF33" s="247"/>
      <c r="AG33" s="247"/>
      <c r="AH33" s="247"/>
    </row>
    <row r="34" spans="3:34" x14ac:dyDescent="0.2">
      <c r="C34" s="143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AG34" s="132"/>
      <c r="AH34" s="132"/>
    </row>
    <row r="35" spans="3:34" x14ac:dyDescent="0.2">
      <c r="C35" s="144"/>
      <c r="D35" s="143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AH35" s="132"/>
    </row>
  </sheetData>
  <mergeCells count="47">
    <mergeCell ref="A1:AH1"/>
    <mergeCell ref="A2:AH2"/>
    <mergeCell ref="AH4:AH7"/>
    <mergeCell ref="S4:S7"/>
    <mergeCell ref="J4:J7"/>
    <mergeCell ref="K4:K7"/>
    <mergeCell ref="L4:L7"/>
    <mergeCell ref="M4:M7"/>
    <mergeCell ref="N4:N7"/>
    <mergeCell ref="AD6:AD7"/>
    <mergeCell ref="AG4:AG7"/>
    <mergeCell ref="G4:G7"/>
    <mergeCell ref="I4:I7"/>
    <mergeCell ref="F4:F7"/>
    <mergeCell ref="U6:X6"/>
    <mergeCell ref="AE6:AE7"/>
    <mergeCell ref="A4:A7"/>
    <mergeCell ref="B4:B7"/>
    <mergeCell ref="C4:C7"/>
    <mergeCell ref="D4:D7"/>
    <mergeCell ref="A22:AH25"/>
    <mergeCell ref="A9:AH9"/>
    <mergeCell ref="A16:AH16"/>
    <mergeCell ref="A19:D19"/>
    <mergeCell ref="A21:D21"/>
    <mergeCell ref="A15:D15"/>
    <mergeCell ref="O4:O7"/>
    <mergeCell ref="U5:X5"/>
    <mergeCell ref="P4:P7"/>
    <mergeCell ref="T4:T7"/>
    <mergeCell ref="Z6:Z7"/>
    <mergeCell ref="U4:AF4"/>
    <mergeCell ref="H4:H7"/>
    <mergeCell ref="AB6:AB7"/>
    <mergeCell ref="X33:AH33"/>
    <mergeCell ref="K33:P33"/>
    <mergeCell ref="C33:F33"/>
    <mergeCell ref="K26:L26"/>
    <mergeCell ref="X26:AD26"/>
    <mergeCell ref="E4:E7"/>
    <mergeCell ref="AB5:AF5"/>
    <mergeCell ref="R4:R7"/>
    <mergeCell ref="Q4:Q7"/>
    <mergeCell ref="AC6:AC7"/>
    <mergeCell ref="Y6:Y7"/>
    <mergeCell ref="Y5:AA5"/>
    <mergeCell ref="AA6:AA7"/>
  </mergeCells>
  <phoneticPr fontId="0" type="noConversion"/>
  <printOptions horizontalCentered="1" verticalCentered="1"/>
  <pageMargins left="0.25" right="0.25" top="0.75" bottom="0.75" header="0.3" footer="0.3"/>
  <pageSetup paperSize="9" scale="73" orientation="landscape" r:id="rId1"/>
  <headerFooter alignWithMargins="0"/>
  <rowBreaks count="1" manualBreakCount="1">
    <brk id="34" max="16383" man="1"/>
  </rowBreaks>
  <ignoredErrors>
    <ignoredError sqref="G18" emptyCellReferenc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47"/>
  <sheetViews>
    <sheetView topLeftCell="A400" zoomScaleNormal="100" zoomScaleSheetLayoutView="85" workbookViewId="0">
      <selection activeCell="E380" sqref="E380"/>
    </sheetView>
  </sheetViews>
  <sheetFormatPr defaultRowHeight="15" customHeight="1" x14ac:dyDescent="0.2"/>
  <cols>
    <col min="1" max="1" width="14.28515625" style="44" customWidth="1"/>
    <col min="2" max="2" width="45.5703125" style="44" customWidth="1"/>
    <col min="3" max="3" width="11.140625" style="44" customWidth="1"/>
    <col min="4" max="4" width="14.140625" style="44" bestFit="1" customWidth="1"/>
    <col min="5" max="5" width="11.5703125" style="44" bestFit="1" customWidth="1"/>
    <col min="6" max="6" width="11" style="44" customWidth="1"/>
    <col min="7" max="7" width="13.7109375" style="44" customWidth="1"/>
    <col min="8" max="8" width="9.140625" style="44"/>
    <col min="9" max="9" width="10.85546875" style="44" customWidth="1"/>
    <col min="10" max="16384" width="9.140625" style="44"/>
  </cols>
  <sheetData>
    <row r="1" spans="1:5" ht="15" customHeight="1" x14ac:dyDescent="0.2">
      <c r="A1" s="283" t="s">
        <v>45</v>
      </c>
      <c r="B1" s="283"/>
      <c r="C1" s="283"/>
      <c r="D1" s="283"/>
      <c r="E1" s="62" t="s">
        <v>46</v>
      </c>
    </row>
    <row r="2" spans="1:5" ht="15" customHeight="1" x14ac:dyDescent="0.2">
      <c r="A2" s="47" t="s">
        <v>47</v>
      </c>
      <c r="B2" s="41" t="s">
        <v>68</v>
      </c>
      <c r="D2" s="40" t="s">
        <v>67</v>
      </c>
      <c r="E2" s="147">
        <v>44437</v>
      </c>
    </row>
    <row r="3" spans="1:5" ht="30" customHeight="1" x14ac:dyDescent="0.2">
      <c r="A3" s="284" t="s">
        <v>48</v>
      </c>
      <c r="B3" s="285"/>
      <c r="C3" s="64" t="s">
        <v>49</v>
      </c>
      <c r="D3" s="65" t="s">
        <v>50</v>
      </c>
      <c r="E3" s="66" t="s">
        <v>51</v>
      </c>
    </row>
    <row r="4" spans="1:5" ht="15" customHeight="1" x14ac:dyDescent="0.2">
      <c r="A4" s="42" t="s">
        <v>52</v>
      </c>
      <c r="B4" s="43" t="s">
        <v>121</v>
      </c>
      <c r="C4" s="49" t="s">
        <v>113</v>
      </c>
      <c r="D4" s="218">
        <f>SalarySheet!O21</f>
        <v>285718</v>
      </c>
      <c r="E4" s="12"/>
    </row>
    <row r="5" spans="1:5" ht="15" customHeight="1" x14ac:dyDescent="0.2">
      <c r="A5" s="291" t="s">
        <v>153</v>
      </c>
      <c r="B5" s="292"/>
      <c r="C5" s="46"/>
      <c r="D5" s="55"/>
      <c r="E5" s="12"/>
    </row>
    <row r="6" spans="1:5" ht="15" customHeight="1" x14ac:dyDescent="0.2">
      <c r="A6" s="293" t="str">
        <f>"of the branch office for the month of "&amp;TEXT(E2," mmmm, yyyy")</f>
        <v>of the branch office for the month of  August, 2021</v>
      </c>
      <c r="B6" s="292"/>
      <c r="C6" s="61"/>
      <c r="D6" s="55"/>
      <c r="E6" s="12"/>
    </row>
    <row r="7" spans="1:5" ht="15" customHeight="1" x14ac:dyDescent="0.2">
      <c r="A7" s="293" t="str">
        <f>"approved by Branch Head dated on"&amp;TEXT(E2," dd-mm-yy")</f>
        <v>approved by Branch Head dated on 29-08-21</v>
      </c>
      <c r="B7" s="292"/>
      <c r="C7" s="61"/>
      <c r="D7" s="55"/>
      <c r="E7" s="12"/>
    </row>
    <row r="8" spans="1:5" ht="15" customHeight="1" x14ac:dyDescent="0.2">
      <c r="A8" s="291" t="s">
        <v>129</v>
      </c>
      <c r="B8" s="292"/>
      <c r="C8" s="61"/>
      <c r="D8" s="55"/>
      <c r="E8" s="12"/>
    </row>
    <row r="9" spans="1:5" ht="15" customHeight="1" x14ac:dyDescent="0.2">
      <c r="A9" s="288" t="s">
        <v>70</v>
      </c>
      <c r="B9" s="289"/>
      <c r="C9" s="290"/>
      <c r="D9" s="218">
        <f>D4</f>
        <v>285718</v>
      </c>
      <c r="E9" s="12"/>
    </row>
    <row r="10" spans="1:5" ht="15" customHeight="1" x14ac:dyDescent="0.2">
      <c r="A10" s="42" t="s">
        <v>53</v>
      </c>
      <c r="B10" s="151" t="s">
        <v>115</v>
      </c>
      <c r="C10" s="45"/>
      <c r="D10" s="192">
        <f>D42+D66</f>
        <v>190271</v>
      </c>
      <c r="E10" s="12"/>
    </row>
    <row r="11" spans="1:5" ht="15" customHeight="1" x14ac:dyDescent="0.2">
      <c r="A11" s="51"/>
      <c r="B11" s="151" t="s">
        <v>164</v>
      </c>
      <c r="C11" s="46"/>
      <c r="D11" s="192">
        <f>D90</f>
        <v>47204</v>
      </c>
      <c r="E11" s="12"/>
    </row>
    <row r="12" spans="1:5" ht="15" customHeight="1" x14ac:dyDescent="0.2">
      <c r="A12" s="51"/>
      <c r="B12" s="151" t="s">
        <v>163</v>
      </c>
      <c r="C12" s="46"/>
      <c r="D12" s="192">
        <f>D113</f>
        <v>15125</v>
      </c>
      <c r="E12" s="12"/>
    </row>
    <row r="13" spans="1:5" ht="15" customHeight="1" x14ac:dyDescent="0.2">
      <c r="A13" s="51"/>
      <c r="B13" s="151" t="s">
        <v>171</v>
      </c>
      <c r="C13" s="46"/>
      <c r="D13" s="192"/>
      <c r="E13" s="12"/>
    </row>
    <row r="14" spans="1:5" ht="15" customHeight="1" x14ac:dyDescent="0.2">
      <c r="A14" s="51"/>
      <c r="B14" s="151" t="s">
        <v>142</v>
      </c>
      <c r="C14" s="46"/>
      <c r="D14" s="192">
        <f>D161</f>
        <v>70</v>
      </c>
      <c r="E14" s="12"/>
    </row>
    <row r="15" spans="1:5" ht="15" customHeight="1" x14ac:dyDescent="0.2">
      <c r="A15" s="51"/>
      <c r="B15" s="151" t="s">
        <v>165</v>
      </c>
      <c r="C15" s="46"/>
      <c r="D15" s="192"/>
      <c r="E15" s="12"/>
    </row>
    <row r="16" spans="1:5" ht="15" customHeight="1" x14ac:dyDescent="0.2">
      <c r="A16" s="53"/>
      <c r="B16" s="151" t="s">
        <v>166</v>
      </c>
      <c r="C16" s="46"/>
      <c r="D16" s="193">
        <v>12</v>
      </c>
      <c r="E16" s="12"/>
    </row>
    <row r="17" spans="1:5" ht="15" customHeight="1" x14ac:dyDescent="0.2">
      <c r="A17" s="53"/>
      <c r="B17" s="165" t="s">
        <v>116</v>
      </c>
      <c r="C17" s="46"/>
      <c r="D17" s="193">
        <f>D280</f>
        <v>1934</v>
      </c>
      <c r="E17" s="12"/>
    </row>
    <row r="18" spans="1:5" ht="15" customHeight="1" x14ac:dyDescent="0.2">
      <c r="A18" s="288" t="s">
        <v>70</v>
      </c>
      <c r="B18" s="289"/>
      <c r="C18" s="290"/>
      <c r="D18" s="194">
        <f>SUM(D10:D17)</f>
        <v>254616</v>
      </c>
      <c r="E18" s="12"/>
    </row>
    <row r="19" spans="1:5" ht="15" customHeight="1" x14ac:dyDescent="0.2">
      <c r="A19" s="52" t="s">
        <v>69</v>
      </c>
      <c r="B19" s="294" t="s">
        <v>209</v>
      </c>
      <c r="C19" s="294"/>
      <c r="D19" s="294"/>
      <c r="E19" s="287"/>
    </row>
    <row r="20" spans="1:5" ht="15" customHeight="1" x14ac:dyDescent="0.2">
      <c r="A20" s="47"/>
      <c r="B20" s="127"/>
      <c r="C20" s="127"/>
      <c r="D20" s="127"/>
      <c r="E20" s="127"/>
    </row>
    <row r="21" spans="1:5" ht="15" customHeight="1" x14ac:dyDescent="0.2">
      <c r="A21" s="47"/>
      <c r="B21" s="47"/>
      <c r="C21" s="47"/>
      <c r="D21" s="47"/>
      <c r="E21" s="47"/>
    </row>
    <row r="22" spans="1:5" ht="15" customHeight="1" x14ac:dyDescent="0.2">
      <c r="A22" s="47" t="s">
        <v>54</v>
      </c>
      <c r="B22" s="47"/>
      <c r="C22" s="47"/>
      <c r="D22" s="47"/>
      <c r="E22" s="47"/>
    </row>
    <row r="23" spans="1:5" ht="15" customHeight="1" x14ac:dyDescent="0.2">
      <c r="A23" s="47" t="s">
        <v>66</v>
      </c>
      <c r="B23" s="56"/>
      <c r="C23" s="63" t="s">
        <v>198</v>
      </c>
      <c r="D23" s="282" t="s">
        <v>199</v>
      </c>
      <c r="E23" s="282"/>
    </row>
    <row r="24" spans="1:5" ht="15" customHeight="1" x14ac:dyDescent="0.2">
      <c r="A24" s="47"/>
      <c r="B24" s="56"/>
      <c r="C24" s="63"/>
      <c r="D24" s="48"/>
      <c r="E24" s="48"/>
    </row>
    <row r="25" spans="1:5" ht="15" customHeight="1" x14ac:dyDescent="0.2">
      <c r="A25" s="47"/>
      <c r="B25" s="163"/>
      <c r="C25" s="63"/>
      <c r="D25" s="189"/>
      <c r="E25" s="189"/>
    </row>
    <row r="26" spans="1:5" ht="15" customHeight="1" x14ac:dyDescent="0.2">
      <c r="A26" s="47"/>
      <c r="B26" s="56"/>
      <c r="C26" s="63"/>
      <c r="D26" s="48"/>
      <c r="E26" s="48"/>
    </row>
    <row r="27" spans="1:5" ht="15" customHeight="1" x14ac:dyDescent="0.2">
      <c r="A27" s="47"/>
      <c r="B27"/>
      <c r="C27" s="47"/>
    </row>
    <row r="28" spans="1:5" ht="15" customHeight="1" x14ac:dyDescent="0.2">
      <c r="A28" s="283" t="s">
        <v>45</v>
      </c>
      <c r="B28" s="283"/>
      <c r="C28" s="283"/>
      <c r="D28" s="283"/>
      <c r="E28" s="62" t="s">
        <v>46</v>
      </c>
    </row>
    <row r="29" spans="1:5" ht="15" customHeight="1" x14ac:dyDescent="0.2">
      <c r="A29" s="47" t="s">
        <v>47</v>
      </c>
      <c r="B29" s="41" t="s">
        <v>68</v>
      </c>
      <c r="D29" s="40" t="s">
        <v>67</v>
      </c>
      <c r="E29" s="59">
        <f>E2</f>
        <v>44437</v>
      </c>
    </row>
    <row r="30" spans="1:5" ht="30" customHeight="1" x14ac:dyDescent="0.2">
      <c r="A30" s="284" t="s">
        <v>48</v>
      </c>
      <c r="B30" s="285"/>
      <c r="C30" s="64" t="s">
        <v>49</v>
      </c>
      <c r="D30" s="65" t="s">
        <v>50</v>
      </c>
      <c r="E30" s="66" t="s">
        <v>51</v>
      </c>
    </row>
    <row r="31" spans="1:5" ht="15" customHeight="1" x14ac:dyDescent="0.2">
      <c r="A31" s="42" t="s">
        <v>52</v>
      </c>
      <c r="B31" s="43"/>
      <c r="C31" s="49"/>
      <c r="D31" s="57" t="s">
        <v>58</v>
      </c>
      <c r="E31" s="12"/>
    </row>
    <row r="32" spans="1:5" ht="15" customHeight="1" x14ac:dyDescent="0.2">
      <c r="A32" s="42"/>
      <c r="B32" s="43"/>
      <c r="C32" s="49"/>
      <c r="D32" s="57"/>
      <c r="E32" s="12"/>
    </row>
    <row r="33" spans="1:5" ht="15" customHeight="1" x14ac:dyDescent="0.2">
      <c r="A33" s="286" t="s">
        <v>121</v>
      </c>
      <c r="B33" s="287"/>
      <c r="C33" s="49" t="s">
        <v>113</v>
      </c>
      <c r="D33" s="57"/>
      <c r="E33" s="12"/>
    </row>
    <row r="34" spans="1:5" ht="15" customHeight="1" x14ac:dyDescent="0.2">
      <c r="A34" s="42"/>
      <c r="B34" s="43"/>
      <c r="C34" s="49"/>
      <c r="D34" s="57"/>
      <c r="E34" s="12"/>
    </row>
    <row r="35" spans="1:5" ht="15" customHeight="1" x14ac:dyDescent="0.2">
      <c r="A35" s="288" t="s">
        <v>70</v>
      </c>
      <c r="B35" s="289"/>
      <c r="C35" s="290"/>
      <c r="D35" s="58" t="str">
        <f>D31</f>
        <v>-</v>
      </c>
      <c r="E35" s="12"/>
    </row>
    <row r="36" spans="1:5" ht="15" customHeight="1" x14ac:dyDescent="0.2">
      <c r="A36" s="42" t="s">
        <v>53</v>
      </c>
      <c r="B36" s="52" t="s">
        <v>72</v>
      </c>
      <c r="C36" s="152" t="s">
        <v>114</v>
      </c>
      <c r="D36" s="154">
        <f>SalarySheet!AH21</f>
        <v>190251</v>
      </c>
      <c r="E36" s="12"/>
    </row>
    <row r="37" spans="1:5" ht="15" customHeight="1" x14ac:dyDescent="0.2">
      <c r="A37" s="291" t="s">
        <v>153</v>
      </c>
      <c r="B37" s="292"/>
      <c r="C37" s="46"/>
      <c r="D37" s="154"/>
      <c r="E37" s="12"/>
    </row>
    <row r="38" spans="1:5" ht="15" customHeight="1" x14ac:dyDescent="0.2">
      <c r="A38" s="293" t="str">
        <f>"of the branch office for the month of "&amp;TEXT(E2," mmmm, yyyy")</f>
        <v>of the branch office for the month of  August, 2021</v>
      </c>
      <c r="B38" s="292"/>
      <c r="C38" s="46"/>
      <c r="D38" s="154"/>
      <c r="E38" s="12"/>
    </row>
    <row r="39" spans="1:5" ht="15" customHeight="1" x14ac:dyDescent="0.2">
      <c r="A39" s="293" t="str">
        <f>"approved by Branch Head dated on "&amp;TEXT(E2," dd-mm-yy")</f>
        <v>approved by Branch Head dated on  29-08-21</v>
      </c>
      <c r="B39" s="292"/>
      <c r="C39" s="46"/>
      <c r="D39" s="154"/>
      <c r="E39" s="12"/>
    </row>
    <row r="40" spans="1:5" ht="15" customHeight="1" x14ac:dyDescent="0.2">
      <c r="A40" s="291" t="s">
        <v>129</v>
      </c>
      <c r="B40" s="292"/>
      <c r="C40" s="46"/>
      <c r="D40" s="154"/>
      <c r="E40" s="12"/>
    </row>
    <row r="41" spans="1:5" ht="15" customHeight="1" x14ac:dyDescent="0.2">
      <c r="A41" s="53"/>
      <c r="B41" s="61"/>
      <c r="C41" s="46"/>
      <c r="D41" s="155"/>
      <c r="E41" s="12"/>
    </row>
    <row r="42" spans="1:5" ht="15" customHeight="1" x14ac:dyDescent="0.2">
      <c r="A42" s="288" t="s">
        <v>70</v>
      </c>
      <c r="B42" s="289"/>
      <c r="C42" s="290"/>
      <c r="D42" s="219">
        <f>SUM(D36:D41)</f>
        <v>190251</v>
      </c>
      <c r="E42" s="12"/>
    </row>
    <row r="43" spans="1:5" ht="15" customHeight="1" x14ac:dyDescent="0.2">
      <c r="A43" s="52" t="s">
        <v>69</v>
      </c>
      <c r="B43" s="294" t="s">
        <v>207</v>
      </c>
      <c r="C43" s="294"/>
      <c r="D43" s="294"/>
      <c r="E43" s="287"/>
    </row>
    <row r="44" spans="1:5" ht="15" customHeight="1" x14ac:dyDescent="0.2">
      <c r="A44" s="47"/>
      <c r="B44" s="127"/>
      <c r="C44" s="127"/>
      <c r="D44" s="127"/>
      <c r="E44" s="127"/>
    </row>
    <row r="45" spans="1:5" ht="15" customHeight="1" x14ac:dyDescent="0.2">
      <c r="A45" s="47"/>
      <c r="B45" s="47"/>
      <c r="C45" s="47"/>
      <c r="D45" s="47"/>
      <c r="E45" s="47"/>
    </row>
    <row r="46" spans="1:5" ht="15" customHeight="1" x14ac:dyDescent="0.2">
      <c r="A46" s="47" t="s">
        <v>54</v>
      </c>
      <c r="B46" s="47"/>
      <c r="C46" s="47"/>
      <c r="D46" s="47"/>
      <c r="E46" s="47"/>
    </row>
    <row r="47" spans="1:5" ht="15" customHeight="1" x14ac:dyDescent="0.2">
      <c r="A47" s="47" t="s">
        <v>66</v>
      </c>
      <c r="B47" s="56"/>
      <c r="C47" s="63" t="s">
        <v>198</v>
      </c>
      <c r="D47" s="282" t="s">
        <v>199</v>
      </c>
      <c r="E47" s="282"/>
    </row>
    <row r="48" spans="1:5" ht="15" customHeight="1" x14ac:dyDescent="0.2">
      <c r="A48" s="47"/>
      <c r="B48" s="163"/>
      <c r="C48" s="63"/>
      <c r="D48" s="231"/>
      <c r="E48" s="231"/>
    </row>
    <row r="49" spans="1:5" ht="15" customHeight="1" x14ac:dyDescent="0.2">
      <c r="A49" s="47"/>
      <c r="B49" s="163"/>
      <c r="C49" s="63"/>
      <c r="D49" s="231"/>
      <c r="E49" s="231"/>
    </row>
    <row r="50" spans="1:5" ht="12" customHeight="1" x14ac:dyDescent="0.2">
      <c r="A50" s="47"/>
      <c r="B50" s="56"/>
      <c r="C50" s="63"/>
      <c r="D50" s="48"/>
      <c r="E50" s="48"/>
    </row>
    <row r="51" spans="1:5" ht="15" customHeight="1" x14ac:dyDescent="0.2">
      <c r="A51" s="283" t="s">
        <v>45</v>
      </c>
      <c r="B51" s="283"/>
      <c r="C51" s="283"/>
      <c r="D51" s="283"/>
      <c r="E51" s="62" t="s">
        <v>46</v>
      </c>
    </row>
    <row r="52" spans="1:5" ht="15" customHeight="1" x14ac:dyDescent="0.2">
      <c r="A52" s="47" t="s">
        <v>47</v>
      </c>
      <c r="B52" s="41" t="s">
        <v>68</v>
      </c>
      <c r="D52" s="40" t="s">
        <v>67</v>
      </c>
      <c r="E52" s="59">
        <f>E2</f>
        <v>44437</v>
      </c>
    </row>
    <row r="53" spans="1:5" ht="30" customHeight="1" x14ac:dyDescent="0.2">
      <c r="A53" s="284" t="s">
        <v>48</v>
      </c>
      <c r="B53" s="285"/>
      <c r="C53" s="64" t="s">
        <v>49</v>
      </c>
      <c r="D53" s="65" t="s">
        <v>50</v>
      </c>
      <c r="E53" s="66" t="s">
        <v>51</v>
      </c>
    </row>
    <row r="54" spans="1:5" ht="15" customHeight="1" x14ac:dyDescent="0.2">
      <c r="A54" s="42" t="s">
        <v>52</v>
      </c>
      <c r="B54" s="43"/>
      <c r="C54" s="49"/>
      <c r="D54" s="57" t="s">
        <v>58</v>
      </c>
      <c r="E54" s="12"/>
    </row>
    <row r="55" spans="1:5" ht="15" customHeight="1" x14ac:dyDescent="0.2">
      <c r="A55" s="42"/>
      <c r="B55" s="43"/>
      <c r="C55" s="49"/>
      <c r="D55" s="57"/>
      <c r="E55" s="12"/>
    </row>
    <row r="56" spans="1:5" ht="15" customHeight="1" x14ac:dyDescent="0.2">
      <c r="A56" s="286" t="s">
        <v>121</v>
      </c>
      <c r="B56" s="287"/>
      <c r="C56" s="49" t="s">
        <v>113</v>
      </c>
      <c r="D56" s="57"/>
      <c r="E56" s="12"/>
    </row>
    <row r="57" spans="1:5" ht="15" customHeight="1" x14ac:dyDescent="0.2">
      <c r="A57" s="128"/>
      <c r="B57" s="43"/>
      <c r="C57" s="49"/>
      <c r="D57" s="57"/>
      <c r="E57" s="12"/>
    </row>
    <row r="58" spans="1:5" ht="15" customHeight="1" x14ac:dyDescent="0.2">
      <c r="A58" s="42"/>
      <c r="B58" s="43"/>
      <c r="C58" s="49"/>
      <c r="D58" s="57"/>
      <c r="E58" s="12"/>
    </row>
    <row r="59" spans="1:5" ht="15" customHeight="1" x14ac:dyDescent="0.2">
      <c r="A59" s="288" t="s">
        <v>70</v>
      </c>
      <c r="B59" s="289"/>
      <c r="C59" s="290"/>
      <c r="D59" s="58" t="str">
        <f>D54</f>
        <v>-</v>
      </c>
      <c r="E59" s="12"/>
    </row>
    <row r="60" spans="1:5" ht="15" customHeight="1" x14ac:dyDescent="0.2">
      <c r="A60" s="42" t="s">
        <v>53</v>
      </c>
      <c r="B60" s="52" t="s">
        <v>94</v>
      </c>
      <c r="C60" s="152" t="s">
        <v>114</v>
      </c>
      <c r="D60" s="50">
        <f>SalarySheet!AE21</f>
        <v>20</v>
      </c>
      <c r="E60" s="12"/>
    </row>
    <row r="61" spans="1:5" ht="15" customHeight="1" x14ac:dyDescent="0.2">
      <c r="A61" s="291" t="s">
        <v>146</v>
      </c>
      <c r="B61" s="292"/>
      <c r="C61" s="46"/>
      <c r="D61" s="50"/>
      <c r="E61" s="12"/>
    </row>
    <row r="62" spans="1:5" ht="15" customHeight="1" x14ac:dyDescent="0.2">
      <c r="A62" s="293" t="str">
        <f>"staffs of the branch office for the month of "&amp;TEXT(E29," mmmm, yyyy")</f>
        <v>staffs of the branch office for the month of  August, 2021</v>
      </c>
      <c r="B62" s="292"/>
      <c r="C62" s="46"/>
      <c r="D62" s="50"/>
      <c r="E62" s="12"/>
    </row>
    <row r="63" spans="1:5" ht="15" customHeight="1" x14ac:dyDescent="0.2">
      <c r="A63" s="293" t="str">
        <f>"approved by Branch Head dated on "&amp;TEXT(E29," dd-mm-yy")</f>
        <v>approved by Branch Head dated on  29-08-21</v>
      </c>
      <c r="B63" s="292"/>
      <c r="C63" s="46"/>
      <c r="D63" s="50"/>
      <c r="E63" s="12"/>
    </row>
    <row r="64" spans="1:5" ht="15" customHeight="1" x14ac:dyDescent="0.2">
      <c r="A64" s="291" t="s">
        <v>129</v>
      </c>
      <c r="B64" s="292"/>
      <c r="C64" s="46"/>
      <c r="D64" s="50"/>
      <c r="E64" s="12"/>
    </row>
    <row r="65" spans="1:5" ht="15" customHeight="1" x14ac:dyDescent="0.2">
      <c r="A65" s="53"/>
      <c r="B65" s="61"/>
      <c r="C65" s="46"/>
      <c r="D65" s="54"/>
      <c r="E65" s="12"/>
    </row>
    <row r="66" spans="1:5" ht="15" customHeight="1" x14ac:dyDescent="0.2">
      <c r="A66" s="288" t="s">
        <v>37</v>
      </c>
      <c r="B66" s="289"/>
      <c r="C66" s="290"/>
      <c r="D66" s="60">
        <f>SUM(D60:D65)</f>
        <v>20</v>
      </c>
      <c r="E66" s="12"/>
    </row>
    <row r="67" spans="1:5" ht="15" customHeight="1" x14ac:dyDescent="0.2">
      <c r="A67" s="52" t="s">
        <v>69</v>
      </c>
      <c r="B67" s="294" t="s">
        <v>192</v>
      </c>
      <c r="C67" s="294"/>
      <c r="D67" s="294"/>
      <c r="E67" s="287"/>
    </row>
    <row r="68" spans="1:5" ht="15" customHeight="1" x14ac:dyDescent="0.2">
      <c r="A68" s="47"/>
      <c r="B68" s="127"/>
      <c r="C68" s="127"/>
      <c r="D68" s="127"/>
      <c r="E68" s="127"/>
    </row>
    <row r="69" spans="1:5" ht="15" customHeight="1" x14ac:dyDescent="0.2">
      <c r="A69" s="47"/>
      <c r="B69" s="47"/>
      <c r="C69" s="47"/>
      <c r="D69" s="47"/>
      <c r="E69" s="47"/>
    </row>
    <row r="70" spans="1:5" ht="15" customHeight="1" x14ac:dyDescent="0.2">
      <c r="A70" s="47" t="s">
        <v>54</v>
      </c>
      <c r="B70" s="47"/>
      <c r="C70" s="47"/>
      <c r="D70" s="47"/>
      <c r="E70" s="47"/>
    </row>
    <row r="71" spans="1:5" ht="15" customHeight="1" x14ac:dyDescent="0.2">
      <c r="A71" s="47" t="s">
        <v>66</v>
      </c>
      <c r="B71" s="56"/>
      <c r="C71" s="234" t="s">
        <v>198</v>
      </c>
      <c r="D71" s="282" t="s">
        <v>199</v>
      </c>
      <c r="E71" s="282"/>
    </row>
    <row r="72" spans="1:5" ht="15" customHeight="1" x14ac:dyDescent="0.2">
      <c r="A72" s="47"/>
      <c r="B72" s="56"/>
      <c r="C72" s="63"/>
      <c r="D72" s="48"/>
      <c r="E72" s="48"/>
    </row>
    <row r="75" spans="1:5" ht="15" customHeight="1" x14ac:dyDescent="0.2">
      <c r="A75" s="283" t="s">
        <v>45</v>
      </c>
      <c r="B75" s="283"/>
      <c r="C75" s="283"/>
      <c r="D75" s="283"/>
      <c r="E75" s="62" t="s">
        <v>46</v>
      </c>
    </row>
    <row r="76" spans="1:5" ht="15" customHeight="1" x14ac:dyDescent="0.2">
      <c r="A76" s="47" t="s">
        <v>47</v>
      </c>
      <c r="B76" s="41" t="s">
        <v>68</v>
      </c>
      <c r="D76" s="40" t="s">
        <v>67</v>
      </c>
      <c r="E76" s="59">
        <f>E2</f>
        <v>44437</v>
      </c>
    </row>
    <row r="77" spans="1:5" ht="30" customHeight="1" x14ac:dyDescent="0.2">
      <c r="A77" s="284" t="s">
        <v>48</v>
      </c>
      <c r="B77" s="285"/>
      <c r="C77" s="64" t="s">
        <v>49</v>
      </c>
      <c r="D77" s="65" t="s">
        <v>50</v>
      </c>
      <c r="E77" s="66" t="s">
        <v>51</v>
      </c>
    </row>
    <row r="78" spans="1:5" ht="15" customHeight="1" x14ac:dyDescent="0.2">
      <c r="A78" s="42" t="s">
        <v>52</v>
      </c>
      <c r="B78" s="43"/>
      <c r="C78" s="49"/>
      <c r="D78" s="57" t="s">
        <v>58</v>
      </c>
      <c r="E78" s="12"/>
    </row>
    <row r="79" spans="1:5" ht="15" customHeight="1" x14ac:dyDescent="0.2">
      <c r="A79" s="42"/>
      <c r="B79" s="43"/>
      <c r="C79" s="49"/>
      <c r="D79" s="57"/>
      <c r="E79" s="12"/>
    </row>
    <row r="80" spans="1:5" ht="15" customHeight="1" x14ac:dyDescent="0.2">
      <c r="A80" s="286" t="s">
        <v>121</v>
      </c>
      <c r="B80" s="287"/>
      <c r="C80" s="49" t="s">
        <v>113</v>
      </c>
      <c r="D80" s="57"/>
      <c r="E80" s="12"/>
    </row>
    <row r="81" spans="1:5" ht="15" customHeight="1" x14ac:dyDescent="0.2">
      <c r="A81" s="42"/>
      <c r="B81" s="43"/>
      <c r="C81" s="49"/>
      <c r="D81" s="57"/>
      <c r="E81" s="12"/>
    </row>
    <row r="82" spans="1:5" ht="15" customHeight="1" x14ac:dyDescent="0.2">
      <c r="A82" s="42"/>
      <c r="B82" s="43"/>
      <c r="C82" s="49"/>
      <c r="D82" s="57"/>
      <c r="E82" s="12"/>
    </row>
    <row r="83" spans="1:5" ht="15" customHeight="1" x14ac:dyDescent="0.2">
      <c r="A83" s="288" t="s">
        <v>70</v>
      </c>
      <c r="B83" s="289"/>
      <c r="C83" s="290"/>
      <c r="D83" s="58" t="str">
        <f>D78</f>
        <v>-</v>
      </c>
      <c r="E83" s="12"/>
    </row>
    <row r="84" spans="1:5" ht="15" customHeight="1" x14ac:dyDescent="0.2">
      <c r="A84" s="42" t="s">
        <v>53</v>
      </c>
      <c r="B84" s="151" t="s">
        <v>122</v>
      </c>
      <c r="C84" s="152" t="s">
        <v>117</v>
      </c>
      <c r="D84" s="50">
        <f>ROUND(SalarySheet!Y21,0)</f>
        <v>47204</v>
      </c>
      <c r="E84" s="12"/>
    </row>
    <row r="85" spans="1:5" ht="15" customHeight="1" x14ac:dyDescent="0.2">
      <c r="A85" s="291" t="s">
        <v>148</v>
      </c>
      <c r="B85" s="292"/>
      <c r="C85" s="46"/>
      <c r="D85" s="50"/>
      <c r="E85" s="12"/>
    </row>
    <row r="86" spans="1:5" ht="15" customHeight="1" x14ac:dyDescent="0.2">
      <c r="A86" s="293" t="str">
        <f>"non officer's of the branch for the month of "&amp;TEXT(E147," mmmm, yyyy")</f>
        <v>non officer's of the branch for the month of  August, 2021</v>
      </c>
      <c r="B86" s="292"/>
      <c r="C86" s="46"/>
      <c r="D86" s="50"/>
      <c r="E86" s="12"/>
    </row>
    <row r="87" spans="1:5" ht="15" customHeight="1" x14ac:dyDescent="0.2">
      <c r="A87" s="293" t="str">
        <f>"approved by Branch Head dated on "&amp;TEXT(E147," dd-mm-yy")</f>
        <v>approved by Branch Head dated on  29-08-21</v>
      </c>
      <c r="B87" s="292"/>
      <c r="C87" s="46"/>
      <c r="D87" s="50"/>
      <c r="E87" s="12"/>
    </row>
    <row r="88" spans="1:5" ht="15" customHeight="1" x14ac:dyDescent="0.2">
      <c r="A88" s="291" t="s">
        <v>129</v>
      </c>
      <c r="B88" s="292"/>
      <c r="C88" s="46"/>
      <c r="D88" s="50"/>
      <c r="E88" s="12"/>
    </row>
    <row r="89" spans="1:5" ht="15" customHeight="1" x14ac:dyDescent="0.2">
      <c r="A89" s="53"/>
      <c r="B89" s="61"/>
      <c r="C89" s="46"/>
      <c r="D89" s="54"/>
      <c r="E89" s="12"/>
    </row>
    <row r="90" spans="1:5" ht="15" customHeight="1" x14ac:dyDescent="0.2">
      <c r="A90" s="288" t="s">
        <v>37</v>
      </c>
      <c r="B90" s="289"/>
      <c r="C90" s="290"/>
      <c r="D90" s="60">
        <f>SUM(D84:D89)</f>
        <v>47204</v>
      </c>
      <c r="E90" s="12"/>
    </row>
    <row r="91" spans="1:5" ht="15" customHeight="1" x14ac:dyDescent="0.2">
      <c r="A91" s="52" t="s">
        <v>69</v>
      </c>
      <c r="B91" s="294" t="s">
        <v>210</v>
      </c>
      <c r="C91" s="294"/>
      <c r="D91" s="294"/>
      <c r="E91" s="287"/>
    </row>
    <row r="92" spans="1:5" ht="15" customHeight="1" x14ac:dyDescent="0.2">
      <c r="A92" s="47"/>
      <c r="B92" s="127"/>
      <c r="C92" s="127"/>
      <c r="D92" s="127"/>
      <c r="E92" s="127"/>
    </row>
    <row r="93" spans="1:5" ht="15" customHeight="1" x14ac:dyDescent="0.2">
      <c r="A93" s="47"/>
      <c r="B93" s="47"/>
      <c r="C93" s="47"/>
      <c r="D93" s="47"/>
      <c r="E93" s="47"/>
    </row>
    <row r="94" spans="1:5" ht="15" customHeight="1" x14ac:dyDescent="0.2">
      <c r="A94" s="47" t="s">
        <v>54</v>
      </c>
      <c r="B94" s="47"/>
      <c r="C94" s="47"/>
      <c r="D94" s="47"/>
      <c r="E94" s="47"/>
    </row>
    <row r="95" spans="1:5" ht="15" customHeight="1" x14ac:dyDescent="0.2">
      <c r="A95" s="47" t="s">
        <v>66</v>
      </c>
      <c r="B95" s="56"/>
      <c r="C95" s="234" t="s">
        <v>198</v>
      </c>
      <c r="D95" s="282" t="s">
        <v>199</v>
      </c>
      <c r="E95" s="282"/>
    </row>
    <row r="96" spans="1:5" ht="15" customHeight="1" x14ac:dyDescent="0.2">
      <c r="A96" s="47"/>
      <c r="B96" s="163"/>
      <c r="C96" s="63"/>
      <c r="D96" s="231"/>
      <c r="E96" s="231"/>
    </row>
    <row r="97" spans="1:5" ht="15" customHeight="1" x14ac:dyDescent="0.2">
      <c r="A97" s="47"/>
      <c r="B97" s="56"/>
      <c r="C97" s="63"/>
      <c r="D97" s="48"/>
      <c r="E97" s="48"/>
    </row>
    <row r="98" spans="1:5" ht="15" customHeight="1" x14ac:dyDescent="0.2">
      <c r="A98" s="283" t="s">
        <v>45</v>
      </c>
      <c r="B98" s="283"/>
      <c r="C98" s="283"/>
      <c r="D98" s="283"/>
      <c r="E98" s="62" t="s">
        <v>46</v>
      </c>
    </row>
    <row r="99" spans="1:5" ht="15" customHeight="1" x14ac:dyDescent="0.2">
      <c r="A99" s="47" t="s">
        <v>47</v>
      </c>
      <c r="B99" s="41" t="s">
        <v>68</v>
      </c>
      <c r="D99" s="40" t="s">
        <v>67</v>
      </c>
      <c r="E99" s="59">
        <f>E2</f>
        <v>44437</v>
      </c>
    </row>
    <row r="100" spans="1:5" ht="30" customHeight="1" x14ac:dyDescent="0.2">
      <c r="A100" s="284" t="s">
        <v>48</v>
      </c>
      <c r="B100" s="285"/>
      <c r="C100" s="64" t="s">
        <v>49</v>
      </c>
      <c r="D100" s="65" t="s">
        <v>50</v>
      </c>
      <c r="E100" s="66" t="s">
        <v>51</v>
      </c>
    </row>
    <row r="101" spans="1:5" ht="15" customHeight="1" x14ac:dyDescent="0.2">
      <c r="A101" s="42" t="s">
        <v>52</v>
      </c>
      <c r="B101" s="43"/>
      <c r="C101" s="49"/>
      <c r="D101" s="57" t="s">
        <v>58</v>
      </c>
      <c r="E101" s="12"/>
    </row>
    <row r="102" spans="1:5" ht="15" customHeight="1" x14ac:dyDescent="0.2">
      <c r="A102" s="42"/>
      <c r="B102" s="43"/>
      <c r="C102" s="49"/>
      <c r="D102" s="57"/>
      <c r="E102" s="12"/>
    </row>
    <row r="103" spans="1:5" ht="15" customHeight="1" x14ac:dyDescent="0.2">
      <c r="A103" s="286" t="s">
        <v>121</v>
      </c>
      <c r="B103" s="287"/>
      <c r="C103" s="49" t="s">
        <v>113</v>
      </c>
      <c r="D103" s="57"/>
      <c r="E103" s="12"/>
    </row>
    <row r="104" spans="1:5" ht="15" customHeight="1" x14ac:dyDescent="0.2">
      <c r="A104" s="42"/>
      <c r="B104" s="43"/>
      <c r="C104" s="49"/>
      <c r="D104" s="57"/>
      <c r="E104" s="12"/>
    </row>
    <row r="105" spans="1:5" ht="15" customHeight="1" x14ac:dyDescent="0.2">
      <c r="A105" s="42"/>
      <c r="B105" s="43"/>
      <c r="C105" s="49"/>
      <c r="D105" s="57"/>
      <c r="E105" s="12"/>
    </row>
    <row r="106" spans="1:5" ht="15" customHeight="1" x14ac:dyDescent="0.2">
      <c r="A106" s="288" t="s">
        <v>70</v>
      </c>
      <c r="B106" s="289"/>
      <c r="C106" s="290"/>
      <c r="D106" s="58" t="str">
        <f>D101</f>
        <v>-</v>
      </c>
      <c r="E106" s="12"/>
    </row>
    <row r="107" spans="1:5" ht="15" customHeight="1" x14ac:dyDescent="0.2">
      <c r="A107" s="42" t="s">
        <v>53</v>
      </c>
      <c r="B107" s="151" t="s">
        <v>123</v>
      </c>
      <c r="C107" s="152" t="s">
        <v>124</v>
      </c>
      <c r="D107" s="50">
        <f>SalarySheet!Z21</f>
        <v>15125</v>
      </c>
      <c r="E107" s="12"/>
    </row>
    <row r="108" spans="1:5" ht="15" customHeight="1" x14ac:dyDescent="0.2">
      <c r="A108" s="291" t="s">
        <v>149</v>
      </c>
      <c r="B108" s="292"/>
      <c r="C108" s="46"/>
      <c r="D108" s="50"/>
      <c r="E108" s="12"/>
    </row>
    <row r="109" spans="1:5" ht="15" customHeight="1" x14ac:dyDescent="0.2">
      <c r="A109" s="293" t="str">
        <f>"non officer's of the branch for the month of "&amp;TEXT(E76," mmmm, yyyy")</f>
        <v>non officer's of the branch for the month of  August, 2021</v>
      </c>
      <c r="B109" s="292"/>
      <c r="C109" s="46"/>
      <c r="D109" s="50"/>
      <c r="E109" s="12"/>
    </row>
    <row r="110" spans="1:5" ht="15" customHeight="1" x14ac:dyDescent="0.2">
      <c r="A110" s="293" t="str">
        <f>"approved by Branch Head dated on "&amp;TEXT(E76," dd-mm-yy")</f>
        <v>approved by Branch Head dated on  29-08-21</v>
      </c>
      <c r="B110" s="292"/>
      <c r="C110" s="46"/>
      <c r="D110" s="50"/>
      <c r="E110" s="12"/>
    </row>
    <row r="111" spans="1:5" ht="15" customHeight="1" x14ac:dyDescent="0.2">
      <c r="A111" s="291" t="s">
        <v>129</v>
      </c>
      <c r="B111" s="292"/>
      <c r="C111" s="46"/>
      <c r="D111" s="50"/>
      <c r="E111" s="12"/>
    </row>
    <row r="112" spans="1:5" ht="15" customHeight="1" x14ac:dyDescent="0.2">
      <c r="A112" s="53"/>
      <c r="B112" s="61"/>
      <c r="C112" s="46"/>
      <c r="D112" s="54"/>
      <c r="E112" s="12"/>
    </row>
    <row r="113" spans="1:5" ht="15" customHeight="1" x14ac:dyDescent="0.2">
      <c r="A113" s="288" t="s">
        <v>37</v>
      </c>
      <c r="B113" s="289"/>
      <c r="C113" s="290"/>
      <c r="D113" s="60">
        <f>SUM(D107:D112)</f>
        <v>15125</v>
      </c>
      <c r="E113" s="12"/>
    </row>
    <row r="114" spans="1:5" ht="15" customHeight="1" x14ac:dyDescent="0.2">
      <c r="A114" s="52" t="s">
        <v>69</v>
      </c>
      <c r="B114" s="294" t="s">
        <v>211</v>
      </c>
      <c r="C114" s="294"/>
      <c r="D114" s="294"/>
      <c r="E114" s="287"/>
    </row>
    <row r="115" spans="1:5" ht="15" customHeight="1" x14ac:dyDescent="0.2">
      <c r="A115" s="47"/>
      <c r="B115" s="127"/>
      <c r="C115" s="127"/>
      <c r="D115" s="127"/>
      <c r="E115" s="127"/>
    </row>
    <row r="116" spans="1:5" ht="15" customHeight="1" x14ac:dyDescent="0.2">
      <c r="A116" s="47"/>
      <c r="B116" s="47"/>
      <c r="C116" s="47"/>
      <c r="D116" s="47"/>
      <c r="E116" s="47"/>
    </row>
    <row r="117" spans="1:5" ht="15" customHeight="1" x14ac:dyDescent="0.2">
      <c r="A117" s="47" t="s">
        <v>54</v>
      </c>
      <c r="B117" s="47"/>
      <c r="C117" s="47"/>
      <c r="D117" s="47"/>
      <c r="E117" s="47"/>
    </row>
    <row r="118" spans="1:5" ht="15" customHeight="1" x14ac:dyDescent="0.2">
      <c r="A118" s="47" t="s">
        <v>66</v>
      </c>
      <c r="B118" s="56"/>
      <c r="C118" s="234" t="s">
        <v>198</v>
      </c>
      <c r="D118" s="282" t="s">
        <v>199</v>
      </c>
      <c r="E118" s="282"/>
    </row>
    <row r="119" spans="1:5" ht="15" customHeight="1" x14ac:dyDescent="0.2">
      <c r="A119" s="47"/>
      <c r="B119" s="163"/>
      <c r="C119" s="63"/>
      <c r="D119" s="189"/>
      <c r="E119" s="189"/>
    </row>
    <row r="120" spans="1:5" ht="15" customHeight="1" x14ac:dyDescent="0.2">
      <c r="A120" s="47"/>
      <c r="B120" s="163"/>
      <c r="C120" s="63"/>
      <c r="D120" s="196"/>
      <c r="E120" s="196"/>
    </row>
    <row r="121" spans="1:5" ht="15" customHeight="1" x14ac:dyDescent="0.2">
      <c r="A121" s="47"/>
      <c r="B121" s="163"/>
      <c r="C121" s="63"/>
      <c r="D121" s="196"/>
      <c r="E121" s="196"/>
    </row>
    <row r="122" spans="1:5" ht="15" customHeight="1" x14ac:dyDescent="0.2">
      <c r="A122" s="283" t="s">
        <v>45</v>
      </c>
      <c r="B122" s="283"/>
      <c r="C122" s="283"/>
      <c r="D122" s="283"/>
      <c r="E122" s="62" t="s">
        <v>46</v>
      </c>
    </row>
    <row r="123" spans="1:5" ht="15" customHeight="1" x14ac:dyDescent="0.2">
      <c r="A123" s="47" t="s">
        <v>47</v>
      </c>
      <c r="B123" s="41" t="s">
        <v>68</v>
      </c>
      <c r="D123" s="40" t="s">
        <v>67</v>
      </c>
      <c r="E123" s="59">
        <f>E2</f>
        <v>44437</v>
      </c>
    </row>
    <row r="124" spans="1:5" ht="30" customHeight="1" x14ac:dyDescent="0.2">
      <c r="A124" s="284" t="s">
        <v>48</v>
      </c>
      <c r="B124" s="285"/>
      <c r="C124" s="64" t="s">
        <v>49</v>
      </c>
      <c r="D124" s="197" t="s">
        <v>50</v>
      </c>
      <c r="E124" s="66" t="s">
        <v>51</v>
      </c>
    </row>
    <row r="125" spans="1:5" ht="15" customHeight="1" x14ac:dyDescent="0.2">
      <c r="A125" s="42" t="s">
        <v>52</v>
      </c>
      <c r="B125" s="43"/>
      <c r="C125" s="49"/>
      <c r="D125" s="57" t="s">
        <v>58</v>
      </c>
      <c r="E125" s="12"/>
    </row>
    <row r="126" spans="1:5" ht="15" customHeight="1" x14ac:dyDescent="0.2">
      <c r="A126" s="42"/>
      <c r="B126" s="43"/>
      <c r="C126" s="49"/>
      <c r="D126" s="57"/>
      <c r="E126" s="12"/>
    </row>
    <row r="127" spans="1:5" ht="15" customHeight="1" x14ac:dyDescent="0.2">
      <c r="A127" s="286" t="s">
        <v>121</v>
      </c>
      <c r="B127" s="287"/>
      <c r="C127" s="49" t="s">
        <v>113</v>
      </c>
      <c r="D127" s="57"/>
      <c r="E127" s="12"/>
    </row>
    <row r="128" spans="1:5" ht="15" customHeight="1" x14ac:dyDescent="0.2">
      <c r="A128" s="42"/>
      <c r="B128" s="43"/>
      <c r="C128" s="49"/>
      <c r="D128" s="57"/>
      <c r="E128" s="12"/>
    </row>
    <row r="129" spans="1:5" ht="15" customHeight="1" x14ac:dyDescent="0.2">
      <c r="A129" s="42"/>
      <c r="B129" s="43"/>
      <c r="C129" s="49"/>
      <c r="D129" s="57"/>
      <c r="E129" s="12"/>
    </row>
    <row r="130" spans="1:5" ht="15" customHeight="1" x14ac:dyDescent="0.2">
      <c r="A130" s="288" t="s">
        <v>70</v>
      </c>
      <c r="B130" s="289"/>
      <c r="C130" s="290"/>
      <c r="D130" s="58" t="str">
        <f>D125</f>
        <v>-</v>
      </c>
      <c r="E130" s="12"/>
    </row>
    <row r="131" spans="1:5" ht="15" customHeight="1" x14ac:dyDescent="0.2">
      <c r="A131" s="42" t="s">
        <v>53</v>
      </c>
      <c r="B131" s="151" t="s">
        <v>172</v>
      </c>
      <c r="C131" s="152" t="s">
        <v>173</v>
      </c>
      <c r="D131" s="50">
        <f>SalarySheet!AA21</f>
        <v>3860</v>
      </c>
      <c r="E131" s="12"/>
    </row>
    <row r="132" spans="1:5" ht="15" customHeight="1" x14ac:dyDescent="0.2">
      <c r="A132" s="291" t="s">
        <v>174</v>
      </c>
      <c r="B132" s="292"/>
      <c r="C132" s="46"/>
      <c r="D132" s="50"/>
      <c r="E132" s="12"/>
    </row>
    <row r="133" spans="1:5" ht="15" customHeight="1" x14ac:dyDescent="0.2">
      <c r="A133" s="293" t="str">
        <f>"non officer's of the branch for the month of "&amp;TEXT(E99," mmmm, yyyy")</f>
        <v>non officer's of the branch for the month of  August, 2021</v>
      </c>
      <c r="B133" s="292"/>
      <c r="C133" s="46"/>
      <c r="D133" s="50"/>
      <c r="E133" s="12"/>
    </row>
    <row r="134" spans="1:5" ht="15" customHeight="1" x14ac:dyDescent="0.2">
      <c r="A134" s="293" t="str">
        <f>"approved by Branch Head dated on "&amp;TEXT(E99," dd-mm-yy")</f>
        <v>approved by Branch Head dated on  29-08-21</v>
      </c>
      <c r="B134" s="292"/>
      <c r="C134" s="46"/>
      <c r="D134" s="50"/>
      <c r="E134" s="12"/>
    </row>
    <row r="135" spans="1:5" ht="15" customHeight="1" x14ac:dyDescent="0.2">
      <c r="A135" s="291" t="s">
        <v>129</v>
      </c>
      <c r="B135" s="292"/>
      <c r="C135" s="46"/>
      <c r="D135" s="50"/>
      <c r="E135" s="12"/>
    </row>
    <row r="136" spans="1:5" ht="15" customHeight="1" x14ac:dyDescent="0.2">
      <c r="A136" s="53"/>
      <c r="B136" s="61"/>
      <c r="C136" s="46"/>
      <c r="D136" s="54"/>
      <c r="E136" s="12"/>
    </row>
    <row r="137" spans="1:5" ht="15" customHeight="1" x14ac:dyDescent="0.2">
      <c r="A137" s="288" t="s">
        <v>37</v>
      </c>
      <c r="B137" s="289"/>
      <c r="C137" s="290"/>
      <c r="D137" s="60">
        <f>SUM(D131:D136)</f>
        <v>3860</v>
      </c>
      <c r="E137" s="12"/>
    </row>
    <row r="138" spans="1:5" ht="15" customHeight="1" x14ac:dyDescent="0.2">
      <c r="A138" s="52" t="s">
        <v>69</v>
      </c>
      <c r="B138" s="294" t="s">
        <v>195</v>
      </c>
      <c r="C138" s="294"/>
      <c r="D138" s="294"/>
      <c r="E138" s="287"/>
    </row>
    <row r="139" spans="1:5" ht="15" customHeight="1" x14ac:dyDescent="0.2">
      <c r="A139" s="47"/>
      <c r="B139" s="162"/>
      <c r="C139" s="162"/>
      <c r="D139" s="162"/>
      <c r="E139" s="162"/>
    </row>
    <row r="140" spans="1:5" ht="15" customHeight="1" x14ac:dyDescent="0.2">
      <c r="A140" s="47"/>
      <c r="B140" s="47"/>
      <c r="C140" s="47"/>
      <c r="D140" s="47"/>
      <c r="E140" s="47"/>
    </row>
    <row r="141" spans="1:5" ht="15" customHeight="1" x14ac:dyDescent="0.2">
      <c r="A141" s="47" t="s">
        <v>54</v>
      </c>
      <c r="B141" s="47"/>
      <c r="C141" s="47"/>
      <c r="D141" s="47"/>
      <c r="E141" s="47"/>
    </row>
    <row r="142" spans="1:5" ht="15" customHeight="1" x14ac:dyDescent="0.2">
      <c r="A142" s="47" t="s">
        <v>66</v>
      </c>
      <c r="B142" s="163"/>
      <c r="C142" s="234" t="s">
        <v>198</v>
      </c>
      <c r="D142" s="282" t="s">
        <v>199</v>
      </c>
      <c r="E142" s="282"/>
    </row>
    <row r="143" spans="1:5" ht="15" customHeight="1" x14ac:dyDescent="0.2">
      <c r="A143" s="47"/>
      <c r="B143" s="163"/>
      <c r="C143" s="63"/>
      <c r="D143" s="231"/>
      <c r="E143" s="231"/>
    </row>
    <row r="144" spans="1:5" ht="15" customHeight="1" x14ac:dyDescent="0.2">
      <c r="A144" s="47"/>
      <c r="B144" s="163"/>
      <c r="C144" s="63"/>
      <c r="D144" s="232"/>
      <c r="E144" s="232"/>
    </row>
    <row r="145" spans="1:5" ht="15" customHeight="1" x14ac:dyDescent="0.2">
      <c r="A145" s="47"/>
      <c r="B145" s="163"/>
      <c r="C145" s="63"/>
      <c r="D145" s="196"/>
      <c r="E145" s="196"/>
    </row>
    <row r="146" spans="1:5" ht="15" customHeight="1" x14ac:dyDescent="0.2">
      <c r="A146" s="283" t="s">
        <v>45</v>
      </c>
      <c r="B146" s="283"/>
      <c r="C146" s="283"/>
      <c r="D146" s="283"/>
      <c r="E146" s="62" t="s">
        <v>46</v>
      </c>
    </row>
    <row r="147" spans="1:5" ht="15" customHeight="1" x14ac:dyDescent="0.2">
      <c r="A147" s="47" t="s">
        <v>47</v>
      </c>
      <c r="B147" s="41" t="s">
        <v>68</v>
      </c>
      <c r="D147" s="40" t="s">
        <v>67</v>
      </c>
      <c r="E147" s="59">
        <f>E2</f>
        <v>44437</v>
      </c>
    </row>
    <row r="148" spans="1:5" ht="30" customHeight="1" x14ac:dyDescent="0.2">
      <c r="A148" s="284" t="s">
        <v>48</v>
      </c>
      <c r="B148" s="285"/>
      <c r="C148" s="64" t="s">
        <v>49</v>
      </c>
      <c r="D148" s="197" t="s">
        <v>50</v>
      </c>
      <c r="E148" s="66" t="s">
        <v>51</v>
      </c>
    </row>
    <row r="149" spans="1:5" ht="15" customHeight="1" x14ac:dyDescent="0.2">
      <c r="A149" s="42" t="s">
        <v>52</v>
      </c>
      <c r="B149" s="43"/>
      <c r="C149" s="49"/>
      <c r="D149" s="57" t="s">
        <v>58</v>
      </c>
      <c r="E149" s="12"/>
    </row>
    <row r="150" spans="1:5" ht="15" customHeight="1" x14ac:dyDescent="0.2">
      <c r="A150" s="42"/>
      <c r="B150" s="43"/>
      <c r="C150" s="49"/>
      <c r="D150" s="57"/>
      <c r="E150" s="12"/>
    </row>
    <row r="151" spans="1:5" ht="15" customHeight="1" x14ac:dyDescent="0.2">
      <c r="A151" s="286" t="s">
        <v>121</v>
      </c>
      <c r="B151" s="287"/>
      <c r="C151" s="49" t="s">
        <v>113</v>
      </c>
      <c r="D151" s="57"/>
      <c r="E151" s="12"/>
    </row>
    <row r="152" spans="1:5" ht="15" customHeight="1" x14ac:dyDescent="0.2">
      <c r="A152" s="42"/>
      <c r="B152" s="43"/>
      <c r="C152" s="49"/>
      <c r="D152" s="57"/>
      <c r="E152" s="12"/>
    </row>
    <row r="153" spans="1:5" ht="15" customHeight="1" x14ac:dyDescent="0.2">
      <c r="A153" s="42"/>
      <c r="B153" s="43"/>
      <c r="C153" s="49"/>
      <c r="D153" s="57"/>
      <c r="E153" s="12"/>
    </row>
    <row r="154" spans="1:5" ht="15" customHeight="1" x14ac:dyDescent="0.2">
      <c r="A154" s="288" t="s">
        <v>70</v>
      </c>
      <c r="B154" s="289"/>
      <c r="C154" s="290"/>
      <c r="D154" s="58" t="str">
        <f>D149</f>
        <v>-</v>
      </c>
      <c r="E154" s="12"/>
    </row>
    <row r="155" spans="1:5" ht="15" customHeight="1" x14ac:dyDescent="0.2">
      <c r="A155" s="42" t="s">
        <v>53</v>
      </c>
      <c r="B155" s="151" t="s">
        <v>143</v>
      </c>
      <c r="C155" s="152" t="s">
        <v>141</v>
      </c>
      <c r="D155" s="50">
        <f>SalarySheet!AB21</f>
        <v>70</v>
      </c>
      <c r="E155" s="12"/>
    </row>
    <row r="156" spans="1:5" ht="15" customHeight="1" x14ac:dyDescent="0.2">
      <c r="A156" s="291" t="s">
        <v>147</v>
      </c>
      <c r="B156" s="292"/>
      <c r="C156" s="46"/>
      <c r="D156" s="50"/>
      <c r="E156" s="12"/>
    </row>
    <row r="157" spans="1:5" ht="15" customHeight="1" x14ac:dyDescent="0.2">
      <c r="A157" s="293" t="str">
        <f>"employees of the branch for the month of "&amp;TEXT(E52," mmmm, yyyy")</f>
        <v>employees of the branch for the month of  August, 2021</v>
      </c>
      <c r="B157" s="292"/>
      <c r="C157" s="46"/>
      <c r="D157" s="50"/>
      <c r="E157" s="12"/>
    </row>
    <row r="158" spans="1:5" ht="15" customHeight="1" x14ac:dyDescent="0.2">
      <c r="A158" s="293" t="str">
        <f>"approved by Branch Head dated on "&amp;TEXT(E52," dd-mm-yy")</f>
        <v>approved by Branch Head dated on  29-08-21</v>
      </c>
      <c r="B158" s="292"/>
      <c r="C158" s="46"/>
      <c r="D158" s="50"/>
      <c r="E158" s="12"/>
    </row>
    <row r="159" spans="1:5" ht="15" customHeight="1" x14ac:dyDescent="0.2">
      <c r="A159" s="291" t="s">
        <v>129</v>
      </c>
      <c r="B159" s="292"/>
      <c r="C159" s="46"/>
      <c r="D159" s="50"/>
      <c r="E159" s="12"/>
    </row>
    <row r="160" spans="1:5" ht="15" customHeight="1" x14ac:dyDescent="0.2">
      <c r="A160" s="53"/>
      <c r="B160" s="61"/>
      <c r="C160" s="46"/>
      <c r="D160" s="54"/>
      <c r="E160" s="12"/>
    </row>
    <row r="161" spans="1:5" ht="15" customHeight="1" x14ac:dyDescent="0.2">
      <c r="A161" s="288" t="s">
        <v>37</v>
      </c>
      <c r="B161" s="289"/>
      <c r="C161" s="290"/>
      <c r="D161" s="60">
        <f>SUM(D155:D160)</f>
        <v>70</v>
      </c>
      <c r="E161" s="12"/>
    </row>
    <row r="162" spans="1:5" ht="15" customHeight="1" x14ac:dyDescent="0.2">
      <c r="A162" s="52" t="s">
        <v>69</v>
      </c>
      <c r="B162" s="294" t="s">
        <v>212</v>
      </c>
      <c r="C162" s="294"/>
      <c r="D162" s="294"/>
      <c r="E162" s="287"/>
    </row>
    <row r="163" spans="1:5" ht="15" customHeight="1" x14ac:dyDescent="0.2">
      <c r="A163" s="47"/>
      <c r="B163" s="47"/>
      <c r="C163" s="47"/>
      <c r="D163" s="47"/>
      <c r="E163" s="47"/>
    </row>
    <row r="164" spans="1:5" ht="15" customHeight="1" x14ac:dyDescent="0.2">
      <c r="A164" s="47"/>
      <c r="B164" s="47"/>
      <c r="C164" s="47"/>
      <c r="D164" s="47"/>
      <c r="E164" s="47"/>
    </row>
    <row r="165" spans="1:5" ht="15" customHeight="1" x14ac:dyDescent="0.2">
      <c r="A165" s="47" t="s">
        <v>54</v>
      </c>
      <c r="B165" s="47"/>
      <c r="C165" s="47"/>
      <c r="D165" s="47"/>
      <c r="E165" s="47"/>
    </row>
    <row r="166" spans="1:5" ht="15" customHeight="1" x14ac:dyDescent="0.2">
      <c r="A166" s="47" t="s">
        <v>66</v>
      </c>
      <c r="B166" s="56"/>
      <c r="C166" s="234" t="s">
        <v>198</v>
      </c>
      <c r="D166" s="282" t="s">
        <v>199</v>
      </c>
      <c r="E166" s="282"/>
    </row>
    <row r="167" spans="1:5" ht="15" customHeight="1" x14ac:dyDescent="0.2">
      <c r="A167" s="47"/>
      <c r="B167" s="163"/>
      <c r="C167" s="63"/>
      <c r="D167" s="196"/>
      <c r="E167" s="196"/>
    </row>
    <row r="168" spans="1:5" ht="15" customHeight="1" x14ac:dyDescent="0.2">
      <c r="A168" s="47"/>
      <c r="B168" s="163"/>
      <c r="C168" s="63"/>
      <c r="D168" s="196"/>
      <c r="E168" s="196"/>
    </row>
    <row r="169" spans="1:5" ht="15" customHeight="1" x14ac:dyDescent="0.2">
      <c r="A169" s="47"/>
      <c r="B169" s="163"/>
      <c r="C169" s="63"/>
      <c r="D169" s="191"/>
      <c r="E169" s="191"/>
    </row>
    <row r="170" spans="1:5" ht="15" customHeight="1" x14ac:dyDescent="0.2">
      <c r="A170" s="283" t="s">
        <v>45</v>
      </c>
      <c r="B170" s="283"/>
      <c r="C170" s="283"/>
      <c r="D170" s="283"/>
      <c r="E170" s="62" t="s">
        <v>46</v>
      </c>
    </row>
    <row r="171" spans="1:5" ht="15" customHeight="1" x14ac:dyDescent="0.2">
      <c r="A171" s="47" t="s">
        <v>47</v>
      </c>
      <c r="B171" s="41" t="s">
        <v>68</v>
      </c>
      <c r="D171" s="40" t="s">
        <v>67</v>
      </c>
      <c r="E171" s="59">
        <f>E2</f>
        <v>44437</v>
      </c>
    </row>
    <row r="172" spans="1:5" ht="23.25" customHeight="1" x14ac:dyDescent="0.2">
      <c r="A172" s="284" t="s">
        <v>48</v>
      </c>
      <c r="B172" s="285"/>
      <c r="C172" s="64" t="s">
        <v>49</v>
      </c>
      <c r="D172" s="65" t="s">
        <v>50</v>
      </c>
      <c r="E172" s="66" t="s">
        <v>51</v>
      </c>
    </row>
    <row r="173" spans="1:5" ht="15" customHeight="1" x14ac:dyDescent="0.2">
      <c r="A173" s="42" t="s">
        <v>52</v>
      </c>
      <c r="B173" s="43"/>
      <c r="C173" s="49"/>
      <c r="D173" s="57" t="s">
        <v>58</v>
      </c>
      <c r="E173" s="12"/>
    </row>
    <row r="174" spans="1:5" ht="15" customHeight="1" x14ac:dyDescent="0.2">
      <c r="A174" s="42"/>
      <c r="B174" s="43"/>
      <c r="C174" s="49"/>
      <c r="D174" s="57"/>
      <c r="E174" s="12"/>
    </row>
    <row r="175" spans="1:5" ht="22.5" customHeight="1" x14ac:dyDescent="0.2">
      <c r="A175" s="286" t="s">
        <v>121</v>
      </c>
      <c r="B175" s="287"/>
      <c r="C175" s="49" t="s">
        <v>113</v>
      </c>
      <c r="D175" s="57"/>
      <c r="E175" s="12"/>
    </row>
    <row r="176" spans="1:5" ht="15" customHeight="1" x14ac:dyDescent="0.2">
      <c r="A176" s="42"/>
      <c r="B176" s="43"/>
      <c r="C176" s="49"/>
      <c r="D176" s="57"/>
      <c r="E176" s="12"/>
    </row>
    <row r="177" spans="1:5" ht="15" customHeight="1" x14ac:dyDescent="0.2">
      <c r="A177" s="42"/>
      <c r="B177" s="43"/>
      <c r="C177" s="49"/>
      <c r="D177" s="57"/>
      <c r="E177" s="12"/>
    </row>
    <row r="178" spans="1:5" ht="15" customHeight="1" x14ac:dyDescent="0.2">
      <c r="A178" s="288" t="s">
        <v>70</v>
      </c>
      <c r="B178" s="289"/>
      <c r="C178" s="290"/>
      <c r="D178" s="58" t="str">
        <f>D173</f>
        <v>-</v>
      </c>
      <c r="E178" s="12"/>
    </row>
    <row r="179" spans="1:5" ht="15" customHeight="1" x14ac:dyDescent="0.2">
      <c r="A179" s="42" t="s">
        <v>53</v>
      </c>
      <c r="B179" s="151" t="s">
        <v>187</v>
      </c>
      <c r="C179" s="152" t="s">
        <v>157</v>
      </c>
      <c r="D179" s="50">
        <f>SalarySheet!V21</f>
        <v>14719</v>
      </c>
      <c r="E179" s="12"/>
    </row>
    <row r="180" spans="1:5" ht="15" customHeight="1" x14ac:dyDescent="0.2">
      <c r="A180" s="291" t="s">
        <v>138</v>
      </c>
      <c r="B180" s="292"/>
      <c r="C180" s="46"/>
      <c r="D180" s="50"/>
      <c r="E180" s="12"/>
    </row>
    <row r="181" spans="1:5" ht="15" customHeight="1" x14ac:dyDescent="0.2">
      <c r="A181" s="293" t="str">
        <f>" for the month of "&amp;TEXT(E219," mmmm, yyyy")</f>
        <v xml:space="preserve"> for the month of  August, 2021</v>
      </c>
      <c r="B181" s="292"/>
      <c r="C181" s="46"/>
      <c r="D181" s="50"/>
      <c r="E181" s="12"/>
    </row>
    <row r="182" spans="1:5" ht="15" customHeight="1" x14ac:dyDescent="0.2">
      <c r="A182" s="293" t="str">
        <f>"approved by Branch Head dated on "&amp;TEXT(E219," dd-mm-yy")</f>
        <v>approved by Branch Head dated on  29-08-21</v>
      </c>
      <c r="B182" s="292"/>
      <c r="C182" s="46"/>
      <c r="D182" s="50"/>
      <c r="E182" s="12"/>
    </row>
    <row r="183" spans="1:5" ht="15" customHeight="1" x14ac:dyDescent="0.2">
      <c r="A183" s="291" t="s">
        <v>129</v>
      </c>
      <c r="B183" s="292"/>
      <c r="C183" s="46"/>
      <c r="D183" s="50"/>
      <c r="E183" s="12"/>
    </row>
    <row r="184" spans="1:5" ht="15" customHeight="1" x14ac:dyDescent="0.2">
      <c r="A184" s="53"/>
      <c r="B184" s="61"/>
      <c r="C184" s="46"/>
      <c r="D184" s="54"/>
      <c r="E184" s="12"/>
    </row>
    <row r="185" spans="1:5" ht="15" customHeight="1" x14ac:dyDescent="0.2">
      <c r="A185" s="288" t="s">
        <v>37</v>
      </c>
      <c r="B185" s="289"/>
      <c r="C185" s="290"/>
      <c r="D185" s="60">
        <f>SUM(D179:D184)</f>
        <v>14719</v>
      </c>
      <c r="E185" s="12"/>
    </row>
    <row r="186" spans="1:5" ht="15" customHeight="1" x14ac:dyDescent="0.2">
      <c r="A186" s="52" t="s">
        <v>69</v>
      </c>
      <c r="B186" s="294" t="s">
        <v>213</v>
      </c>
      <c r="C186" s="294"/>
      <c r="D186" s="294"/>
      <c r="E186" s="287"/>
    </row>
    <row r="187" spans="1:5" ht="15" customHeight="1" x14ac:dyDescent="0.2">
      <c r="A187" s="47"/>
      <c r="B187" s="127"/>
      <c r="C187" s="127"/>
      <c r="D187" s="127"/>
      <c r="E187" s="127"/>
    </row>
    <row r="188" spans="1:5" ht="15" customHeight="1" x14ac:dyDescent="0.2">
      <c r="A188" s="47"/>
      <c r="B188" s="47"/>
      <c r="C188" s="47"/>
      <c r="D188" s="47"/>
      <c r="E188" s="47"/>
    </row>
    <row r="189" spans="1:5" ht="15" customHeight="1" x14ac:dyDescent="0.2">
      <c r="A189" s="47" t="s">
        <v>54</v>
      </c>
      <c r="B189" s="47"/>
      <c r="C189" s="47"/>
      <c r="D189" s="47"/>
      <c r="E189" s="47"/>
    </row>
    <row r="190" spans="1:5" ht="15" customHeight="1" x14ac:dyDescent="0.2">
      <c r="A190" s="47" t="s">
        <v>66</v>
      </c>
      <c r="B190" s="56"/>
      <c r="C190" s="234" t="s">
        <v>198</v>
      </c>
      <c r="D190" s="282" t="s">
        <v>199</v>
      </c>
      <c r="E190" s="282"/>
    </row>
    <row r="191" spans="1:5" ht="15" customHeight="1" x14ac:dyDescent="0.2">
      <c r="A191" s="47"/>
      <c r="B191" s="163"/>
      <c r="C191" s="63"/>
      <c r="D191" s="189"/>
      <c r="E191" s="189"/>
    </row>
    <row r="192" spans="1:5" ht="15" customHeight="1" x14ac:dyDescent="0.2">
      <c r="A192" s="47"/>
      <c r="B192" s="163"/>
      <c r="C192" s="63"/>
      <c r="D192" s="232"/>
      <c r="E192" s="232"/>
    </row>
    <row r="193" spans="1:5" ht="15" customHeight="1" x14ac:dyDescent="0.2">
      <c r="A193" s="47"/>
      <c r="B193" s="163"/>
      <c r="C193" s="63"/>
      <c r="D193" s="221"/>
      <c r="E193" s="221"/>
    </row>
    <row r="194" spans="1:5" ht="15" customHeight="1" x14ac:dyDescent="0.2">
      <c r="A194" s="283" t="s">
        <v>45</v>
      </c>
      <c r="B194" s="283"/>
      <c r="C194" s="283"/>
      <c r="D194" s="283"/>
      <c r="E194" s="62" t="s">
        <v>46</v>
      </c>
    </row>
    <row r="195" spans="1:5" ht="15" customHeight="1" x14ac:dyDescent="0.2">
      <c r="A195" s="47" t="s">
        <v>47</v>
      </c>
      <c r="B195" s="41" t="s">
        <v>68</v>
      </c>
      <c r="D195" s="40" t="s">
        <v>67</v>
      </c>
      <c r="E195" s="59">
        <f>E171</f>
        <v>44437</v>
      </c>
    </row>
    <row r="196" spans="1:5" ht="23.25" customHeight="1" x14ac:dyDescent="0.2">
      <c r="A196" s="284" t="s">
        <v>48</v>
      </c>
      <c r="B196" s="285"/>
      <c r="C196" s="64" t="s">
        <v>49</v>
      </c>
      <c r="D196" s="222" t="s">
        <v>50</v>
      </c>
      <c r="E196" s="66" t="s">
        <v>51</v>
      </c>
    </row>
    <row r="197" spans="1:5" ht="15" customHeight="1" x14ac:dyDescent="0.2">
      <c r="A197" s="42" t="s">
        <v>52</v>
      </c>
      <c r="B197" s="43"/>
      <c r="C197" s="49"/>
      <c r="D197" s="57" t="s">
        <v>58</v>
      </c>
      <c r="E197" s="12"/>
    </row>
    <row r="198" spans="1:5" ht="15" customHeight="1" x14ac:dyDescent="0.2">
      <c r="A198" s="42"/>
      <c r="B198" s="43"/>
      <c r="C198" s="49"/>
      <c r="D198" s="57"/>
      <c r="E198" s="12"/>
    </row>
    <row r="199" spans="1:5" ht="21.75" customHeight="1" x14ac:dyDescent="0.2">
      <c r="A199" s="286" t="s">
        <v>121</v>
      </c>
      <c r="B199" s="287"/>
      <c r="C199" s="49" t="s">
        <v>113</v>
      </c>
      <c r="D199" s="57"/>
      <c r="E199" s="12"/>
    </row>
    <row r="200" spans="1:5" ht="15" customHeight="1" x14ac:dyDescent="0.2">
      <c r="A200" s="42"/>
      <c r="B200" s="43"/>
      <c r="C200" s="49"/>
      <c r="D200" s="57"/>
      <c r="E200" s="12"/>
    </row>
    <row r="201" spans="1:5" ht="15" customHeight="1" x14ac:dyDescent="0.2">
      <c r="A201" s="42"/>
      <c r="B201" s="43"/>
      <c r="C201" s="49"/>
      <c r="D201" s="57"/>
      <c r="E201" s="12"/>
    </row>
    <row r="202" spans="1:5" ht="15" customHeight="1" x14ac:dyDescent="0.2">
      <c r="A202" s="288" t="s">
        <v>70</v>
      </c>
      <c r="B202" s="289"/>
      <c r="C202" s="290"/>
      <c r="D202" s="58" t="str">
        <f>D197</f>
        <v>-</v>
      </c>
      <c r="E202" s="12"/>
    </row>
    <row r="203" spans="1:5" ht="15" customHeight="1" x14ac:dyDescent="0.2">
      <c r="A203" s="42" t="s">
        <v>53</v>
      </c>
      <c r="B203" s="151" t="s">
        <v>188</v>
      </c>
      <c r="C203" s="152" t="s">
        <v>182</v>
      </c>
      <c r="D203" s="50">
        <f>SalarySheet!W21</f>
        <v>11229</v>
      </c>
      <c r="E203" s="12"/>
    </row>
    <row r="204" spans="1:5" ht="15" customHeight="1" x14ac:dyDescent="0.2">
      <c r="A204" s="291" t="s">
        <v>185</v>
      </c>
      <c r="B204" s="292"/>
      <c r="C204" s="46"/>
      <c r="D204" s="50"/>
      <c r="E204" s="12"/>
    </row>
    <row r="205" spans="1:5" ht="15" customHeight="1" x14ac:dyDescent="0.2">
      <c r="A205" s="293" t="str">
        <f>A181</f>
        <v xml:space="preserve"> for the month of  August, 2021</v>
      </c>
      <c r="B205" s="292"/>
      <c r="C205" s="46"/>
      <c r="D205" s="50"/>
      <c r="E205" s="12"/>
    </row>
    <row r="206" spans="1:5" ht="15" customHeight="1" x14ac:dyDescent="0.2">
      <c r="A206" s="293" t="str">
        <f>A182</f>
        <v>approved by Branch Head dated on  29-08-21</v>
      </c>
      <c r="B206" s="292"/>
      <c r="C206" s="46"/>
      <c r="D206" s="50"/>
      <c r="E206" s="12"/>
    </row>
    <row r="207" spans="1:5" ht="15" customHeight="1" x14ac:dyDescent="0.2">
      <c r="A207" s="291" t="s">
        <v>129</v>
      </c>
      <c r="B207" s="292"/>
      <c r="C207" s="46"/>
      <c r="D207" s="50"/>
      <c r="E207" s="12"/>
    </row>
    <row r="208" spans="1:5" ht="15" customHeight="1" x14ac:dyDescent="0.2">
      <c r="A208" s="53"/>
      <c r="B208" s="61"/>
      <c r="C208" s="46"/>
      <c r="D208" s="54"/>
      <c r="E208" s="12"/>
    </row>
    <row r="209" spans="1:5" ht="15" customHeight="1" x14ac:dyDescent="0.2">
      <c r="A209" s="288" t="s">
        <v>70</v>
      </c>
      <c r="B209" s="289"/>
      <c r="C209" s="290"/>
      <c r="D209" s="60">
        <f>SUM(D203:D208)</f>
        <v>11229</v>
      </c>
      <c r="E209" s="12"/>
    </row>
    <row r="210" spans="1:5" ht="15" customHeight="1" x14ac:dyDescent="0.2">
      <c r="A210" s="52" t="s">
        <v>69</v>
      </c>
      <c r="B210" s="294" t="s">
        <v>208</v>
      </c>
      <c r="C210" s="294"/>
      <c r="D210" s="294"/>
      <c r="E210" s="287"/>
    </row>
    <row r="211" spans="1:5" ht="15" customHeight="1" x14ac:dyDescent="0.2">
      <c r="A211" s="47"/>
      <c r="B211" s="162"/>
      <c r="C211" s="162"/>
      <c r="D211" s="162"/>
      <c r="E211" s="162"/>
    </row>
    <row r="212" spans="1:5" ht="15" customHeight="1" x14ac:dyDescent="0.2">
      <c r="A212" s="47"/>
      <c r="B212" s="47"/>
      <c r="C212" s="47"/>
      <c r="D212" s="47"/>
      <c r="E212" s="47"/>
    </row>
    <row r="213" spans="1:5" ht="15" customHeight="1" x14ac:dyDescent="0.2">
      <c r="A213" s="47" t="s">
        <v>54</v>
      </c>
      <c r="B213" s="47"/>
      <c r="C213" s="47"/>
      <c r="D213" s="47"/>
      <c r="E213" s="47"/>
    </row>
    <row r="214" spans="1:5" ht="15" customHeight="1" x14ac:dyDescent="0.2">
      <c r="A214" s="47" t="s">
        <v>66</v>
      </c>
      <c r="B214" s="163"/>
      <c r="C214" s="234" t="s">
        <v>198</v>
      </c>
      <c r="D214" s="282" t="s">
        <v>199</v>
      </c>
      <c r="E214" s="282"/>
    </row>
    <row r="215" spans="1:5" ht="15" customHeight="1" x14ac:dyDescent="0.2">
      <c r="A215" s="47"/>
      <c r="B215" s="163"/>
      <c r="C215" s="63"/>
      <c r="D215" s="221"/>
      <c r="E215" s="221"/>
    </row>
    <row r="216" spans="1:5" ht="15" customHeight="1" x14ac:dyDescent="0.2">
      <c r="A216" s="47"/>
      <c r="B216" s="163"/>
      <c r="C216" s="63"/>
      <c r="D216" s="221"/>
      <c r="E216" s="221"/>
    </row>
    <row r="217" spans="1:5" ht="15" customHeight="1" x14ac:dyDescent="0.2">
      <c r="A217" s="47"/>
      <c r="B217" s="163"/>
      <c r="C217" s="63"/>
      <c r="D217" s="221"/>
      <c r="E217" s="221"/>
    </row>
    <row r="218" spans="1:5" ht="15" customHeight="1" x14ac:dyDescent="0.2">
      <c r="A218" s="283" t="str">
        <f>A194</f>
        <v>BANGLADESH DEVELOPMENT BANK LIMITED</v>
      </c>
      <c r="B218" s="283"/>
      <c r="C218" s="283"/>
      <c r="D218" s="283"/>
      <c r="E218" s="225" t="str">
        <f>E194</f>
        <v>TRANSFER</v>
      </c>
    </row>
    <row r="219" spans="1:5" ht="15" customHeight="1" x14ac:dyDescent="0.2">
      <c r="A219" s="47" t="s">
        <v>47</v>
      </c>
      <c r="B219" s="41" t="s">
        <v>68</v>
      </c>
      <c r="D219" s="40" t="s">
        <v>67</v>
      </c>
      <c r="E219" s="59">
        <f>E2</f>
        <v>44437</v>
      </c>
    </row>
    <row r="220" spans="1:5" ht="24" customHeight="1" x14ac:dyDescent="0.2">
      <c r="A220" s="284" t="s">
        <v>48</v>
      </c>
      <c r="B220" s="285"/>
      <c r="C220" s="64" t="s">
        <v>49</v>
      </c>
      <c r="D220" s="65" t="s">
        <v>50</v>
      </c>
      <c r="E220" s="66" t="s">
        <v>51</v>
      </c>
    </row>
    <row r="221" spans="1:5" ht="15" customHeight="1" x14ac:dyDescent="0.2">
      <c r="A221" s="42" t="s">
        <v>52</v>
      </c>
      <c r="B221" s="43"/>
      <c r="C221" s="49"/>
      <c r="D221" s="57" t="s">
        <v>58</v>
      </c>
      <c r="E221" s="12"/>
    </row>
    <row r="222" spans="1:5" ht="15" customHeight="1" x14ac:dyDescent="0.2">
      <c r="A222" s="42"/>
      <c r="B222" s="43"/>
      <c r="C222" s="49"/>
      <c r="D222" s="57"/>
      <c r="E222" s="12"/>
    </row>
    <row r="223" spans="1:5" ht="22.5" customHeight="1" x14ac:dyDescent="0.2">
      <c r="A223" s="286" t="s">
        <v>121</v>
      </c>
      <c r="B223" s="287"/>
      <c r="C223" s="49" t="s">
        <v>113</v>
      </c>
      <c r="D223" s="57"/>
      <c r="E223" s="12"/>
    </row>
    <row r="224" spans="1:5" ht="15" customHeight="1" x14ac:dyDescent="0.2">
      <c r="A224" s="42"/>
      <c r="B224" s="43"/>
      <c r="C224" s="49"/>
      <c r="D224" s="57"/>
      <c r="E224" s="12"/>
    </row>
    <row r="225" spans="1:5" ht="15" customHeight="1" x14ac:dyDescent="0.2">
      <c r="A225" s="42"/>
      <c r="B225" s="43"/>
      <c r="C225" s="49"/>
      <c r="D225" s="57"/>
      <c r="E225" s="12"/>
    </row>
    <row r="226" spans="1:5" ht="15" customHeight="1" x14ac:dyDescent="0.2">
      <c r="A226" s="288" t="s">
        <v>70</v>
      </c>
      <c r="B226" s="289"/>
      <c r="C226" s="290"/>
      <c r="D226" s="58" t="str">
        <f>D221</f>
        <v>-</v>
      </c>
      <c r="E226" s="12"/>
    </row>
    <row r="227" spans="1:5" ht="15" customHeight="1" x14ac:dyDescent="0.2">
      <c r="A227" s="42" t="s">
        <v>53</v>
      </c>
      <c r="B227" s="52" t="s">
        <v>74</v>
      </c>
      <c r="C227" s="152" t="s">
        <v>158</v>
      </c>
      <c r="D227" s="50">
        <f>SalarySheet!AC21</f>
        <v>1300</v>
      </c>
      <c r="E227" s="12"/>
    </row>
    <row r="228" spans="1:5" ht="15" customHeight="1" x14ac:dyDescent="0.2">
      <c r="A228" s="291" t="s">
        <v>150</v>
      </c>
      <c r="B228" s="292"/>
      <c r="C228" s="46"/>
      <c r="D228" s="50"/>
      <c r="E228" s="12"/>
    </row>
    <row r="229" spans="1:5" ht="15" customHeight="1" x14ac:dyDescent="0.2">
      <c r="A229" s="293" t="str">
        <f>"officer's of the branch office for the month of "&amp;TEXT(E359," mmmm, yyyy")</f>
        <v>officer's of the branch office for the month of  August, 2021</v>
      </c>
      <c r="B229" s="292"/>
      <c r="C229" s="46"/>
      <c r="D229" s="50"/>
      <c r="E229" s="12"/>
    </row>
    <row r="230" spans="1:5" ht="15" customHeight="1" x14ac:dyDescent="0.2">
      <c r="A230" s="293" t="str">
        <f>"approved by Branch Head dated on "&amp;TEXT(E359," dd-mm-yy")</f>
        <v>approved by Branch Head dated on  29-08-21</v>
      </c>
      <c r="B230" s="292"/>
      <c r="C230" s="46"/>
      <c r="D230" s="50"/>
      <c r="E230" s="12"/>
    </row>
    <row r="231" spans="1:5" ht="15" customHeight="1" x14ac:dyDescent="0.2">
      <c r="A231" s="291" t="s">
        <v>129</v>
      </c>
      <c r="B231" s="292"/>
      <c r="C231" s="46"/>
      <c r="D231" s="50"/>
      <c r="E231" s="12"/>
    </row>
    <row r="232" spans="1:5" ht="15" customHeight="1" x14ac:dyDescent="0.2">
      <c r="A232" s="53"/>
      <c r="B232" s="61"/>
      <c r="C232" s="46"/>
      <c r="D232" s="54"/>
      <c r="E232" s="12"/>
    </row>
    <row r="233" spans="1:5" ht="15" customHeight="1" x14ac:dyDescent="0.2">
      <c r="A233" s="288" t="s">
        <v>70</v>
      </c>
      <c r="B233" s="289"/>
      <c r="C233" s="290"/>
      <c r="D233" s="60">
        <f>SUM(D227:D232)</f>
        <v>1300</v>
      </c>
      <c r="E233" s="12"/>
    </row>
    <row r="234" spans="1:5" ht="15" customHeight="1" x14ac:dyDescent="0.2">
      <c r="A234" s="52" t="s">
        <v>69</v>
      </c>
      <c r="B234" s="294" t="s">
        <v>214</v>
      </c>
      <c r="C234" s="294"/>
      <c r="D234" s="294"/>
      <c r="E234" s="287"/>
    </row>
    <row r="235" spans="1:5" ht="15" customHeight="1" x14ac:dyDescent="0.2">
      <c r="A235" s="47"/>
      <c r="B235" s="127"/>
      <c r="C235" s="127"/>
      <c r="D235" s="127"/>
      <c r="E235" s="127"/>
    </row>
    <row r="236" spans="1:5" ht="15" customHeight="1" x14ac:dyDescent="0.2">
      <c r="A236" s="47"/>
      <c r="B236" s="47"/>
      <c r="C236" s="47"/>
      <c r="D236" s="47"/>
      <c r="E236" s="47"/>
    </row>
    <row r="237" spans="1:5" ht="15" customHeight="1" x14ac:dyDescent="0.2">
      <c r="A237" s="47" t="s">
        <v>54</v>
      </c>
      <c r="B237" s="47"/>
      <c r="C237" s="47"/>
      <c r="D237" s="47"/>
      <c r="E237" s="47"/>
    </row>
    <row r="238" spans="1:5" ht="15" customHeight="1" x14ac:dyDescent="0.2">
      <c r="A238" s="47" t="s">
        <v>66</v>
      </c>
      <c r="B238" s="56"/>
      <c r="C238" s="234" t="s">
        <v>198</v>
      </c>
      <c r="D238" s="282" t="s">
        <v>199</v>
      </c>
      <c r="E238" s="282"/>
    </row>
    <row r="239" spans="1:5" ht="22.5" customHeight="1" x14ac:dyDescent="0.2">
      <c r="A239" s="47"/>
      <c r="B239" s="163"/>
      <c r="C239" s="63"/>
      <c r="D239" s="196"/>
      <c r="E239" s="196"/>
    </row>
    <row r="240" spans="1:5" ht="16.5" customHeight="1" x14ac:dyDescent="0.2">
      <c r="A240" s="47"/>
      <c r="B240" s="163"/>
      <c r="C240" s="63"/>
      <c r="D240" s="232"/>
      <c r="E240" s="232"/>
    </row>
    <row r="241" spans="1:5" ht="15" customHeight="1" x14ac:dyDescent="0.2">
      <c r="A241" s="47"/>
      <c r="B241" s="163"/>
      <c r="C241" s="63"/>
      <c r="D241" s="189"/>
      <c r="E241" s="189"/>
    </row>
    <row r="242" spans="1:5" ht="15" customHeight="1" x14ac:dyDescent="0.2">
      <c r="A242" s="283" t="s">
        <v>45</v>
      </c>
      <c r="B242" s="283"/>
      <c r="C242" s="283"/>
      <c r="D242" s="283"/>
      <c r="E242" s="62" t="s">
        <v>46</v>
      </c>
    </row>
    <row r="243" spans="1:5" ht="15" customHeight="1" x14ac:dyDescent="0.2">
      <c r="A243" s="47" t="s">
        <v>47</v>
      </c>
      <c r="B243" s="41" t="s">
        <v>68</v>
      </c>
      <c r="D243" s="40" t="s">
        <v>67</v>
      </c>
      <c r="E243" s="59">
        <f>E2</f>
        <v>44437</v>
      </c>
    </row>
    <row r="244" spans="1:5" ht="23.25" customHeight="1" x14ac:dyDescent="0.2">
      <c r="A244" s="284" t="s">
        <v>48</v>
      </c>
      <c r="B244" s="285"/>
      <c r="C244" s="64" t="s">
        <v>49</v>
      </c>
      <c r="D244" s="168" t="s">
        <v>50</v>
      </c>
      <c r="E244" s="66" t="s">
        <v>51</v>
      </c>
    </row>
    <row r="245" spans="1:5" ht="15" customHeight="1" x14ac:dyDescent="0.2">
      <c r="A245" s="42" t="s">
        <v>52</v>
      </c>
      <c r="B245" s="43"/>
      <c r="C245" s="49"/>
      <c r="D245" s="57" t="s">
        <v>58</v>
      </c>
      <c r="E245" s="12"/>
    </row>
    <row r="246" spans="1:5" ht="15" customHeight="1" x14ac:dyDescent="0.2">
      <c r="A246" s="42"/>
      <c r="B246" s="43"/>
      <c r="C246" s="49"/>
      <c r="D246" s="57"/>
      <c r="E246" s="12"/>
    </row>
    <row r="247" spans="1:5" ht="24" customHeight="1" x14ac:dyDescent="0.2">
      <c r="A247" s="286" t="s">
        <v>121</v>
      </c>
      <c r="B247" s="287"/>
      <c r="C247" s="49" t="s">
        <v>113</v>
      </c>
      <c r="D247" s="57"/>
      <c r="E247" s="12"/>
    </row>
    <row r="248" spans="1:5" ht="15" customHeight="1" x14ac:dyDescent="0.2">
      <c r="A248" s="42"/>
      <c r="B248" s="43"/>
      <c r="C248" s="49"/>
      <c r="D248" s="57"/>
      <c r="E248" s="12"/>
    </row>
    <row r="249" spans="1:5" ht="15" customHeight="1" x14ac:dyDescent="0.2">
      <c r="A249" s="42"/>
      <c r="B249" s="43"/>
      <c r="C249" s="49"/>
      <c r="D249" s="57"/>
      <c r="E249" s="12"/>
    </row>
    <row r="250" spans="1:5" ht="15" customHeight="1" x14ac:dyDescent="0.2">
      <c r="A250" s="288" t="s">
        <v>70</v>
      </c>
      <c r="B250" s="289"/>
      <c r="C250" s="290"/>
      <c r="D250" s="58">
        <f>SalarySheet!AD21</f>
        <v>6</v>
      </c>
      <c r="E250" s="12"/>
    </row>
    <row r="251" spans="1:5" ht="24" customHeight="1" x14ac:dyDescent="0.2">
      <c r="A251" s="42" t="s">
        <v>53</v>
      </c>
      <c r="B251" s="52" t="s">
        <v>75</v>
      </c>
      <c r="C251" s="152" t="s">
        <v>132</v>
      </c>
      <c r="D251" s="50">
        <f>SalarySheet!AD21</f>
        <v>6</v>
      </c>
      <c r="E251" s="12"/>
    </row>
    <row r="252" spans="1:5" ht="15" customHeight="1" x14ac:dyDescent="0.2">
      <c r="A252" s="291" t="s">
        <v>151</v>
      </c>
      <c r="B252" s="292"/>
      <c r="C252" s="46"/>
      <c r="D252" s="50"/>
      <c r="E252" s="12"/>
    </row>
    <row r="253" spans="1:5" ht="15" customHeight="1" x14ac:dyDescent="0.2">
      <c r="A253" s="293" t="str">
        <f>"officer's of the branch office for the month of "&amp;TEXT(E171," mmmm, yyyy")</f>
        <v>officer's of the branch office for the month of  August, 2021</v>
      </c>
      <c r="B253" s="292"/>
      <c r="C253" s="46"/>
      <c r="D253" s="50"/>
      <c r="E253" s="12"/>
    </row>
    <row r="254" spans="1:5" ht="15" customHeight="1" x14ac:dyDescent="0.2">
      <c r="A254" s="293" t="str">
        <f>"approved by Branch Head dated on "&amp;TEXT(E171," dd-mm-yy")</f>
        <v>approved by Branch Head dated on  29-08-21</v>
      </c>
      <c r="B254" s="292"/>
      <c r="C254" s="46"/>
      <c r="D254" s="50"/>
      <c r="E254" s="12"/>
    </row>
    <row r="255" spans="1:5" ht="15" customHeight="1" x14ac:dyDescent="0.2">
      <c r="A255" s="291" t="s">
        <v>129</v>
      </c>
      <c r="B255" s="292"/>
      <c r="C255" s="46"/>
      <c r="D255" s="50"/>
      <c r="E255" s="12"/>
    </row>
    <row r="256" spans="1:5" ht="15" customHeight="1" x14ac:dyDescent="0.2">
      <c r="A256" s="53"/>
      <c r="B256" s="61"/>
      <c r="C256" s="46"/>
      <c r="D256" s="54"/>
      <c r="E256" s="12"/>
    </row>
    <row r="257" spans="1:5" ht="15" customHeight="1" x14ac:dyDescent="0.2">
      <c r="A257" s="288" t="s">
        <v>37</v>
      </c>
      <c r="B257" s="289"/>
      <c r="C257" s="290"/>
      <c r="D257" s="60">
        <f>SUM(D251:D256)</f>
        <v>6</v>
      </c>
      <c r="E257" s="12"/>
    </row>
    <row r="258" spans="1:5" ht="15" customHeight="1" x14ac:dyDescent="0.2">
      <c r="A258" s="52" t="s">
        <v>69</v>
      </c>
      <c r="B258" s="294" t="s">
        <v>203</v>
      </c>
      <c r="C258" s="294"/>
      <c r="D258" s="294"/>
      <c r="E258" s="287"/>
    </row>
    <row r="259" spans="1:5" ht="15" customHeight="1" x14ac:dyDescent="0.2">
      <c r="A259" s="47"/>
      <c r="B259" s="127"/>
      <c r="C259" s="127"/>
      <c r="D259" s="127"/>
      <c r="E259" s="127"/>
    </row>
    <row r="260" spans="1:5" ht="12" customHeight="1" x14ac:dyDescent="0.2">
      <c r="A260" s="47"/>
      <c r="B260" s="47"/>
      <c r="C260" s="47"/>
      <c r="D260" s="47"/>
      <c r="E260" s="47"/>
    </row>
    <row r="261" spans="1:5" ht="15" customHeight="1" x14ac:dyDescent="0.2">
      <c r="A261" s="47" t="s">
        <v>54</v>
      </c>
      <c r="B261" s="47"/>
      <c r="C261" s="47"/>
      <c r="D261" s="47"/>
      <c r="E261" s="47"/>
    </row>
    <row r="262" spans="1:5" ht="15" customHeight="1" x14ac:dyDescent="0.2">
      <c r="A262" s="47" t="s">
        <v>66</v>
      </c>
      <c r="B262" s="56"/>
      <c r="C262" s="63" t="s">
        <v>198</v>
      </c>
      <c r="D262" s="282" t="s">
        <v>199</v>
      </c>
      <c r="E262" s="282"/>
    </row>
    <row r="263" spans="1:5" ht="15" customHeight="1" x14ac:dyDescent="0.2">
      <c r="A263" s="47"/>
      <c r="B263" s="163"/>
      <c r="C263" s="63"/>
      <c r="D263" s="231"/>
      <c r="E263" s="231"/>
    </row>
    <row r="264" spans="1:5" ht="15" customHeight="1" x14ac:dyDescent="0.2">
      <c r="A264" s="47"/>
      <c r="B264" s="163"/>
      <c r="C264" s="63"/>
      <c r="D264" s="189"/>
      <c r="E264" s="189"/>
    </row>
    <row r="265" spans="1:5" ht="15" customHeight="1" x14ac:dyDescent="0.2">
      <c r="A265" s="283" t="s">
        <v>45</v>
      </c>
      <c r="B265" s="283"/>
      <c r="C265" s="283"/>
      <c r="D265" s="283"/>
      <c r="E265" s="62" t="s">
        <v>46</v>
      </c>
    </row>
    <row r="266" spans="1:5" ht="15" customHeight="1" x14ac:dyDescent="0.2">
      <c r="A266" s="47" t="s">
        <v>47</v>
      </c>
      <c r="B266" s="41" t="s">
        <v>68</v>
      </c>
      <c r="D266" s="40" t="s">
        <v>67</v>
      </c>
      <c r="E266" s="59">
        <f>E2</f>
        <v>44437</v>
      </c>
    </row>
    <row r="267" spans="1:5" ht="23.25" customHeight="1" x14ac:dyDescent="0.2">
      <c r="A267" s="284" t="s">
        <v>48</v>
      </c>
      <c r="B267" s="285"/>
      <c r="C267" s="64" t="s">
        <v>49</v>
      </c>
      <c r="D267" s="148" t="s">
        <v>50</v>
      </c>
      <c r="E267" s="66" t="s">
        <v>51</v>
      </c>
    </row>
    <row r="268" spans="1:5" ht="15" customHeight="1" x14ac:dyDescent="0.2">
      <c r="A268" s="42" t="s">
        <v>52</v>
      </c>
      <c r="B268" s="43"/>
      <c r="C268" s="49"/>
      <c r="D268" s="57" t="s">
        <v>58</v>
      </c>
      <c r="E268" s="12"/>
    </row>
    <row r="269" spans="1:5" ht="15" customHeight="1" x14ac:dyDescent="0.2">
      <c r="A269" s="42"/>
      <c r="B269" s="43"/>
      <c r="C269" s="49"/>
      <c r="D269" s="57"/>
      <c r="E269" s="12"/>
    </row>
    <row r="270" spans="1:5" ht="15" customHeight="1" x14ac:dyDescent="0.2">
      <c r="A270" s="286" t="s">
        <v>121</v>
      </c>
      <c r="B270" s="287"/>
      <c r="C270" s="49" t="s">
        <v>113</v>
      </c>
      <c r="D270" s="57"/>
      <c r="E270" s="12"/>
    </row>
    <row r="271" spans="1:5" ht="15" customHeight="1" x14ac:dyDescent="0.2">
      <c r="A271" s="42"/>
      <c r="B271" s="43"/>
      <c r="C271" s="49"/>
      <c r="D271" s="57"/>
      <c r="E271" s="12"/>
    </row>
    <row r="272" spans="1:5" ht="15" customHeight="1" x14ac:dyDescent="0.2">
      <c r="A272" s="42"/>
      <c r="B272" s="43"/>
      <c r="C272" s="49"/>
      <c r="D272" s="57"/>
      <c r="E272" s="12"/>
    </row>
    <row r="273" spans="1:5" ht="15" customHeight="1" x14ac:dyDescent="0.2">
      <c r="A273" s="288" t="s">
        <v>70</v>
      </c>
      <c r="B273" s="289"/>
      <c r="C273" s="290"/>
      <c r="D273" s="58" t="str">
        <f>D268</f>
        <v>-</v>
      </c>
      <c r="E273" s="12"/>
    </row>
    <row r="274" spans="1:5" ht="22.5" customHeight="1" x14ac:dyDescent="0.2">
      <c r="A274" s="42" t="s">
        <v>53</v>
      </c>
      <c r="B274" s="151" t="s">
        <v>139</v>
      </c>
      <c r="C274" s="152" t="s">
        <v>118</v>
      </c>
      <c r="D274" s="50">
        <f>SalarySheet!AF21</f>
        <v>1934</v>
      </c>
      <c r="E274" s="12"/>
    </row>
    <row r="275" spans="1:5" ht="15" customHeight="1" x14ac:dyDescent="0.2">
      <c r="A275" s="291" t="s">
        <v>152</v>
      </c>
      <c r="B275" s="292"/>
      <c r="C275" s="46"/>
      <c r="D275" s="50"/>
      <c r="E275" s="12"/>
    </row>
    <row r="276" spans="1:5" ht="15" customHeight="1" x14ac:dyDescent="0.2">
      <c r="A276" s="293" t="str">
        <f>"payee officers of the branch office for the month of "&amp;TEXT(E266," mmmm, yyyy")</f>
        <v>payee officers of the branch office for the month of  August, 2021</v>
      </c>
      <c r="B276" s="292"/>
      <c r="C276" s="46"/>
      <c r="D276" s="50"/>
      <c r="E276" s="12"/>
    </row>
    <row r="277" spans="1:5" ht="15" customHeight="1" x14ac:dyDescent="0.2">
      <c r="A277" s="293" t="str">
        <f>"approved by Branch Head dated on "&amp;TEXT(E266," dd-mm-yy")</f>
        <v>approved by Branch Head dated on  29-08-21</v>
      </c>
      <c r="B277" s="292"/>
      <c r="C277" s="46"/>
      <c r="D277" s="50"/>
      <c r="E277" s="12"/>
    </row>
    <row r="278" spans="1:5" ht="15" customHeight="1" x14ac:dyDescent="0.2">
      <c r="A278" s="298" t="s">
        <v>130</v>
      </c>
      <c r="B278" s="299"/>
      <c r="C278" s="46"/>
      <c r="D278" s="50"/>
      <c r="E278" s="12"/>
    </row>
    <row r="279" spans="1:5" ht="15" customHeight="1" x14ac:dyDescent="0.2">
      <c r="A279" s="53"/>
      <c r="B279" s="61"/>
      <c r="C279" s="46"/>
      <c r="D279" s="54"/>
      <c r="E279" s="12"/>
    </row>
    <row r="280" spans="1:5" ht="15" customHeight="1" x14ac:dyDescent="0.2">
      <c r="A280" s="288" t="s">
        <v>37</v>
      </c>
      <c r="B280" s="289"/>
      <c r="C280" s="290"/>
      <c r="D280" s="60">
        <f>SUM(D274:D279)</f>
        <v>1934</v>
      </c>
      <c r="E280" s="12"/>
    </row>
    <row r="281" spans="1:5" ht="15" customHeight="1" x14ac:dyDescent="0.2">
      <c r="A281" s="52" t="s">
        <v>69</v>
      </c>
      <c r="B281" s="294" t="s">
        <v>204</v>
      </c>
      <c r="C281" s="294"/>
      <c r="D281" s="294"/>
      <c r="E281" s="287"/>
    </row>
    <row r="282" spans="1:5" ht="15" customHeight="1" x14ac:dyDescent="0.2">
      <c r="A282" s="47"/>
      <c r="B282" s="127"/>
      <c r="C282" s="127"/>
      <c r="D282" s="127"/>
      <c r="E282" s="127"/>
    </row>
    <row r="283" spans="1:5" ht="15" customHeight="1" x14ac:dyDescent="0.2">
      <c r="A283" s="47"/>
      <c r="B283" s="47"/>
      <c r="C283" s="47"/>
      <c r="D283" s="47"/>
      <c r="E283" s="47"/>
    </row>
    <row r="284" spans="1:5" ht="15" customHeight="1" x14ac:dyDescent="0.2">
      <c r="A284" s="47" t="s">
        <v>54</v>
      </c>
      <c r="B284" s="47"/>
      <c r="C284" s="47"/>
      <c r="D284" s="47"/>
      <c r="E284" s="47"/>
    </row>
    <row r="285" spans="1:5" ht="15" customHeight="1" x14ac:dyDescent="0.2">
      <c r="A285" s="47" t="s">
        <v>66</v>
      </c>
      <c r="B285" s="56"/>
      <c r="C285" s="234" t="s">
        <v>198</v>
      </c>
      <c r="D285" s="282" t="s">
        <v>199</v>
      </c>
      <c r="E285" s="282"/>
    </row>
    <row r="286" spans="1:5" ht="15" customHeight="1" x14ac:dyDescent="0.2">
      <c r="A286" s="47"/>
      <c r="B286" s="163"/>
      <c r="C286" s="63"/>
      <c r="D286" s="196"/>
      <c r="E286" s="196"/>
    </row>
    <row r="287" spans="1:5" ht="15" customHeight="1" x14ac:dyDescent="0.2">
      <c r="A287" s="47"/>
      <c r="B287" s="163"/>
      <c r="C287" s="63"/>
      <c r="D287" s="196"/>
      <c r="E287" s="196"/>
    </row>
    <row r="288" spans="1:5" ht="15" customHeight="1" x14ac:dyDescent="0.2">
      <c r="A288" s="283" t="s">
        <v>45</v>
      </c>
      <c r="B288" s="283"/>
      <c r="C288" s="283"/>
      <c r="D288" s="283"/>
      <c r="E288" s="62" t="s">
        <v>46</v>
      </c>
    </row>
    <row r="289" spans="1:5" ht="15" customHeight="1" x14ac:dyDescent="0.2">
      <c r="A289" s="47" t="s">
        <v>47</v>
      </c>
      <c r="B289" s="41" t="s">
        <v>68</v>
      </c>
      <c r="D289" s="40" t="s">
        <v>67</v>
      </c>
      <c r="E289" s="59">
        <f>E2</f>
        <v>44437</v>
      </c>
    </row>
    <row r="290" spans="1:5" ht="24.75" customHeight="1" x14ac:dyDescent="0.2">
      <c r="A290" s="284" t="s">
        <v>48</v>
      </c>
      <c r="B290" s="285"/>
      <c r="C290" s="64" t="s">
        <v>49</v>
      </c>
      <c r="D290" s="190" t="s">
        <v>50</v>
      </c>
      <c r="E290" s="66" t="s">
        <v>51</v>
      </c>
    </row>
    <row r="291" spans="1:5" ht="15" customHeight="1" x14ac:dyDescent="0.2">
      <c r="A291" s="42" t="s">
        <v>52</v>
      </c>
      <c r="B291" s="43" t="s">
        <v>131</v>
      </c>
      <c r="C291" s="49" t="s">
        <v>125</v>
      </c>
      <c r="D291" s="57" t="s">
        <v>58</v>
      </c>
      <c r="E291" s="12"/>
    </row>
    <row r="292" spans="1:5" ht="15" customHeight="1" x14ac:dyDescent="0.2">
      <c r="A292" s="42"/>
      <c r="B292" s="43"/>
      <c r="C292" s="49"/>
      <c r="D292" s="57"/>
      <c r="E292" s="12"/>
    </row>
    <row r="293" spans="1:5" ht="15" customHeight="1" x14ac:dyDescent="0.2">
      <c r="A293" s="286"/>
      <c r="B293" s="287"/>
      <c r="D293" s="57"/>
      <c r="E293" s="12"/>
    </row>
    <row r="294" spans="1:5" ht="25.5" customHeight="1" x14ac:dyDescent="0.2">
      <c r="A294" s="42"/>
      <c r="B294" s="43"/>
      <c r="C294" s="49"/>
      <c r="D294" s="57"/>
      <c r="E294" s="12"/>
    </row>
    <row r="295" spans="1:5" ht="15" customHeight="1" x14ac:dyDescent="0.2">
      <c r="A295" s="42"/>
      <c r="B295" s="43"/>
      <c r="C295" s="49"/>
      <c r="D295" s="57"/>
      <c r="E295" s="12"/>
    </row>
    <row r="296" spans="1:5" ht="15" customHeight="1" x14ac:dyDescent="0.2">
      <c r="A296" s="288" t="s">
        <v>70</v>
      </c>
      <c r="B296" s="289"/>
      <c r="C296" s="290"/>
      <c r="D296" s="58" t="str">
        <f>D291</f>
        <v>-</v>
      </c>
      <c r="E296" s="12"/>
    </row>
    <row r="297" spans="1:5" ht="15" customHeight="1" x14ac:dyDescent="0.2">
      <c r="A297" s="42" t="s">
        <v>53</v>
      </c>
      <c r="B297" s="151" t="s">
        <v>140</v>
      </c>
      <c r="C297" s="152" t="s">
        <v>155</v>
      </c>
      <c r="D297" s="50">
        <f>SalarySheet!P21</f>
        <v>34334</v>
      </c>
      <c r="E297" s="12"/>
    </row>
    <row r="298" spans="1:5" ht="15" customHeight="1" x14ac:dyDescent="0.2">
      <c r="A298" s="291" t="s">
        <v>145</v>
      </c>
      <c r="B298" s="292"/>
      <c r="C298" s="46"/>
      <c r="D298" s="50"/>
      <c r="E298" s="12"/>
    </row>
    <row r="299" spans="1:5" ht="15" customHeight="1" x14ac:dyDescent="0.2">
      <c r="A299" s="293" t="str">
        <f>" superannuation fund for the month of "&amp;TEXT(E99," mmmm, yyyy")</f>
        <v xml:space="preserve"> superannuation fund for the month of  August, 2021</v>
      </c>
      <c r="B299" s="292"/>
      <c r="C299" s="46"/>
      <c r="D299" s="50"/>
      <c r="E299" s="12"/>
    </row>
    <row r="300" spans="1:5" ht="15" customHeight="1" x14ac:dyDescent="0.2">
      <c r="A300" s="293" t="str">
        <f>"approved by Branch Head dated on "&amp;TEXT(E99," dd-mm-yy")</f>
        <v>approved by Branch Head dated on  29-08-21</v>
      </c>
      <c r="B300" s="292"/>
      <c r="C300" s="46"/>
      <c r="D300" s="50"/>
      <c r="E300" s="12"/>
    </row>
    <row r="301" spans="1:5" ht="21" customHeight="1" x14ac:dyDescent="0.2">
      <c r="A301" s="291" t="s">
        <v>129</v>
      </c>
      <c r="B301" s="292"/>
      <c r="C301" s="46"/>
      <c r="D301" s="50"/>
      <c r="E301" s="12"/>
    </row>
    <row r="302" spans="1:5" ht="15" customHeight="1" x14ac:dyDescent="0.2">
      <c r="A302" s="53"/>
      <c r="B302" s="61"/>
      <c r="C302" s="46"/>
      <c r="D302" s="54"/>
      <c r="E302" s="12"/>
    </row>
    <row r="303" spans="1:5" ht="15" customHeight="1" x14ac:dyDescent="0.2">
      <c r="A303" s="288" t="s">
        <v>37</v>
      </c>
      <c r="B303" s="289"/>
      <c r="C303" s="290"/>
      <c r="D303" s="60">
        <f>SUM(D297:D302)</f>
        <v>34334</v>
      </c>
      <c r="E303" s="12"/>
    </row>
    <row r="304" spans="1:5" ht="15" customHeight="1" x14ac:dyDescent="0.2">
      <c r="A304" s="52" t="s">
        <v>69</v>
      </c>
      <c r="B304" s="294" t="s">
        <v>215</v>
      </c>
      <c r="C304" s="294"/>
      <c r="D304" s="294"/>
      <c r="E304" s="287"/>
    </row>
    <row r="305" spans="1:5" ht="15" customHeight="1" x14ac:dyDescent="0.2">
      <c r="A305" s="47"/>
      <c r="B305" s="127"/>
      <c r="C305" s="127"/>
      <c r="D305" s="127"/>
      <c r="E305" s="127"/>
    </row>
    <row r="306" spans="1:5" ht="15" customHeight="1" x14ac:dyDescent="0.2">
      <c r="A306" s="47"/>
      <c r="B306" s="47"/>
      <c r="C306" s="47"/>
      <c r="D306" s="47"/>
      <c r="E306" s="47"/>
    </row>
    <row r="307" spans="1:5" ht="15" customHeight="1" x14ac:dyDescent="0.2">
      <c r="A307" s="47" t="s">
        <v>54</v>
      </c>
      <c r="B307" s="47"/>
      <c r="C307" s="47"/>
      <c r="D307" s="47"/>
      <c r="E307" s="47"/>
    </row>
    <row r="308" spans="1:5" ht="15" customHeight="1" x14ac:dyDescent="0.2">
      <c r="A308" s="47" t="s">
        <v>66</v>
      </c>
      <c r="B308" s="56"/>
      <c r="C308" s="63" t="s">
        <v>55</v>
      </c>
      <c r="D308" s="282" t="s">
        <v>199</v>
      </c>
      <c r="E308" s="282"/>
    </row>
    <row r="309" spans="1:5" ht="15" customHeight="1" x14ac:dyDescent="0.2">
      <c r="A309" s="47"/>
      <c r="B309" s="163"/>
      <c r="C309" s="63"/>
      <c r="D309" s="231"/>
      <c r="E309" s="231"/>
    </row>
    <row r="310" spans="1:5" ht="15" customHeight="1" x14ac:dyDescent="0.2">
      <c r="A310" s="47"/>
      <c r="B310" s="163"/>
      <c r="C310" s="63"/>
      <c r="D310" s="169"/>
      <c r="E310" s="169"/>
    </row>
    <row r="311" spans="1:5" ht="15" customHeight="1" x14ac:dyDescent="0.2">
      <c r="A311" s="283" t="s">
        <v>45</v>
      </c>
      <c r="B311" s="283"/>
      <c r="C311" s="283"/>
      <c r="D311" s="283"/>
      <c r="E311" s="62" t="s">
        <v>46</v>
      </c>
    </row>
    <row r="312" spans="1:5" ht="15" customHeight="1" x14ac:dyDescent="0.2">
      <c r="A312" s="47" t="s">
        <v>47</v>
      </c>
      <c r="B312" s="41" t="s">
        <v>68</v>
      </c>
      <c r="D312" s="40" t="s">
        <v>67</v>
      </c>
      <c r="E312" s="59">
        <f>E289</f>
        <v>44437</v>
      </c>
    </row>
    <row r="313" spans="1:5" ht="23.25" customHeight="1" x14ac:dyDescent="0.2">
      <c r="A313" s="284" t="s">
        <v>48</v>
      </c>
      <c r="B313" s="285"/>
      <c r="C313" s="64" t="s">
        <v>49</v>
      </c>
      <c r="D313" s="161" t="s">
        <v>50</v>
      </c>
      <c r="E313" s="66" t="s">
        <v>51</v>
      </c>
    </row>
    <row r="314" spans="1:5" ht="15" customHeight="1" x14ac:dyDescent="0.2">
      <c r="A314" s="42" t="s">
        <v>52</v>
      </c>
      <c r="B314" s="43" t="s">
        <v>127</v>
      </c>
      <c r="C314" s="49" t="s">
        <v>126</v>
      </c>
      <c r="D314" s="57" t="s">
        <v>58</v>
      </c>
      <c r="E314" s="12"/>
    </row>
    <row r="315" spans="1:5" ht="15" customHeight="1" x14ac:dyDescent="0.2">
      <c r="A315" s="42"/>
      <c r="B315" s="43"/>
      <c r="C315" s="49"/>
      <c r="D315" s="57"/>
      <c r="E315" s="12"/>
    </row>
    <row r="316" spans="1:5" ht="15" customHeight="1" x14ac:dyDescent="0.2">
      <c r="A316" s="286"/>
      <c r="B316" s="287"/>
      <c r="C316" s="49"/>
      <c r="D316" s="57"/>
      <c r="E316" s="12"/>
    </row>
    <row r="317" spans="1:5" ht="23.25" customHeight="1" x14ac:dyDescent="0.2">
      <c r="A317" s="42"/>
      <c r="B317" s="43"/>
      <c r="C317" s="49"/>
      <c r="D317" s="57"/>
      <c r="E317" s="12"/>
    </row>
    <row r="318" spans="1:5" ht="15" customHeight="1" x14ac:dyDescent="0.2">
      <c r="A318" s="42"/>
      <c r="B318" s="43"/>
      <c r="C318" s="49"/>
      <c r="D318" s="57"/>
      <c r="E318" s="12"/>
    </row>
    <row r="319" spans="1:5" ht="15" customHeight="1" x14ac:dyDescent="0.2">
      <c r="A319" s="288" t="s">
        <v>70</v>
      </c>
      <c r="B319" s="289"/>
      <c r="C319" s="290"/>
      <c r="D319" s="58" t="str">
        <f>D314</f>
        <v>-</v>
      </c>
      <c r="E319" s="12"/>
    </row>
    <row r="320" spans="1:5" ht="15" customHeight="1" x14ac:dyDescent="0.2">
      <c r="A320" s="42" t="s">
        <v>53</v>
      </c>
      <c r="B320" s="151" t="s">
        <v>154</v>
      </c>
      <c r="C320" s="152" t="s">
        <v>156</v>
      </c>
      <c r="D320" s="50">
        <f>SalarySheet!R21</f>
        <v>11229</v>
      </c>
      <c r="E320" s="12"/>
    </row>
    <row r="321" spans="1:5" ht="15" customHeight="1" x14ac:dyDescent="0.2">
      <c r="A321" s="291" t="s">
        <v>144</v>
      </c>
      <c r="B321" s="292"/>
      <c r="C321" s="46"/>
      <c r="D321" s="50"/>
      <c r="E321" s="12"/>
    </row>
    <row r="322" spans="1:5" ht="15" customHeight="1" x14ac:dyDescent="0.2">
      <c r="A322" s="293" t="str">
        <f>"officer's of the branch office for the month of "&amp;TEXT(E312," mmmm, yyyy")</f>
        <v>officer's of the branch office for the month of  August, 2021</v>
      </c>
      <c r="B322" s="292"/>
      <c r="C322" s="46"/>
      <c r="D322" s="50"/>
      <c r="E322" s="12"/>
    </row>
    <row r="323" spans="1:5" ht="15" customHeight="1" x14ac:dyDescent="0.2">
      <c r="A323" s="293" t="str">
        <f>"approved by Branch Head dated on "&amp;TEXT(E312," dd-mm-yy")</f>
        <v>approved by Branch Head dated on  29-08-21</v>
      </c>
      <c r="B323" s="292"/>
      <c r="C323" s="46"/>
      <c r="D323" s="50"/>
      <c r="E323" s="12"/>
    </row>
    <row r="324" spans="1:5" ht="22.5" customHeight="1" x14ac:dyDescent="0.2">
      <c r="A324" s="291" t="s">
        <v>129</v>
      </c>
      <c r="B324" s="292"/>
      <c r="C324" s="46"/>
      <c r="D324" s="50"/>
      <c r="E324" s="12"/>
    </row>
    <row r="325" spans="1:5" ht="15" customHeight="1" x14ac:dyDescent="0.2">
      <c r="A325" s="53"/>
      <c r="B325" s="61"/>
      <c r="C325" s="46"/>
      <c r="D325" s="54"/>
      <c r="E325" s="12"/>
    </row>
    <row r="326" spans="1:5" ht="15" customHeight="1" x14ac:dyDescent="0.2">
      <c r="A326" s="288" t="s">
        <v>37</v>
      </c>
      <c r="B326" s="289"/>
      <c r="C326" s="290"/>
      <c r="D326" s="60">
        <f>SUM(D320:D325)</f>
        <v>11229</v>
      </c>
      <c r="E326" s="12"/>
    </row>
    <row r="327" spans="1:5" ht="15" customHeight="1" x14ac:dyDescent="0.2">
      <c r="A327" s="52" t="s">
        <v>69</v>
      </c>
      <c r="B327" s="294" t="str">
        <f>B210</f>
        <v>Taka Eleven thousand Two hundred Twenty nine Only</v>
      </c>
      <c r="C327" s="294"/>
      <c r="D327" s="294"/>
      <c r="E327" s="287"/>
    </row>
    <row r="328" spans="1:5" ht="15" customHeight="1" x14ac:dyDescent="0.2">
      <c r="A328" s="47"/>
      <c r="B328" s="162"/>
      <c r="C328" s="162"/>
      <c r="D328" s="162"/>
      <c r="E328" s="162"/>
    </row>
    <row r="329" spans="1:5" ht="12" customHeight="1" x14ac:dyDescent="0.2">
      <c r="A329" s="47"/>
      <c r="B329" s="47"/>
      <c r="C329" s="47"/>
      <c r="D329" s="47"/>
      <c r="E329" s="47"/>
    </row>
    <row r="330" spans="1:5" ht="30" customHeight="1" x14ac:dyDescent="0.2">
      <c r="A330" s="47" t="s">
        <v>54</v>
      </c>
      <c r="B330" s="47"/>
      <c r="C330" s="47"/>
      <c r="D330" s="47"/>
      <c r="E330" s="47"/>
    </row>
    <row r="331" spans="1:5" ht="15" customHeight="1" x14ac:dyDescent="0.2">
      <c r="A331" s="47" t="s">
        <v>66</v>
      </c>
      <c r="B331" s="163"/>
      <c r="C331" s="234" t="s">
        <v>198</v>
      </c>
      <c r="D331" s="282" t="s">
        <v>199</v>
      </c>
      <c r="E331" s="282"/>
    </row>
    <row r="332" spans="1:5" ht="15" customHeight="1" x14ac:dyDescent="0.2">
      <c r="A332" s="47"/>
      <c r="B332" s="163"/>
      <c r="C332" s="63"/>
      <c r="D332" s="196"/>
      <c r="E332" s="196"/>
    </row>
    <row r="333" spans="1:5" ht="15" customHeight="1" x14ac:dyDescent="0.2">
      <c r="A333" s="47"/>
      <c r="B333" s="163"/>
      <c r="C333" s="63"/>
      <c r="D333" s="196"/>
      <c r="E333" s="196"/>
    </row>
    <row r="334" spans="1:5" ht="15" customHeight="1" x14ac:dyDescent="0.2">
      <c r="A334" s="47"/>
      <c r="B334" s="163"/>
      <c r="C334" s="63"/>
      <c r="D334" s="173"/>
      <c r="E334" s="173"/>
    </row>
    <row r="335" spans="1:5" ht="15" customHeight="1" x14ac:dyDescent="0.2">
      <c r="A335" s="283" t="s">
        <v>45</v>
      </c>
      <c r="B335" s="283"/>
      <c r="C335" s="283"/>
      <c r="D335" s="283"/>
      <c r="E335" s="62" t="s">
        <v>46</v>
      </c>
    </row>
    <row r="336" spans="1:5" ht="15" customHeight="1" x14ac:dyDescent="0.2">
      <c r="A336" s="47" t="s">
        <v>47</v>
      </c>
      <c r="B336" s="41" t="s">
        <v>68</v>
      </c>
      <c r="D336" s="40" t="s">
        <v>67</v>
      </c>
      <c r="E336" s="59">
        <f>E312</f>
        <v>44437</v>
      </c>
    </row>
    <row r="337" spans="1:5" ht="27" customHeight="1" x14ac:dyDescent="0.2">
      <c r="A337" s="284" t="s">
        <v>48</v>
      </c>
      <c r="B337" s="285"/>
      <c r="C337" s="64" t="s">
        <v>49</v>
      </c>
      <c r="D337" s="161" t="s">
        <v>50</v>
      </c>
      <c r="E337" s="66" t="s">
        <v>51</v>
      </c>
    </row>
    <row r="338" spans="1:5" ht="15" customHeight="1" x14ac:dyDescent="0.2">
      <c r="A338" s="51" t="s">
        <v>52</v>
      </c>
      <c r="B338" s="164" t="s">
        <v>127</v>
      </c>
      <c r="C338" s="49" t="s">
        <v>126</v>
      </c>
      <c r="D338" s="57">
        <f>SalarySheet!R21</f>
        <v>11229</v>
      </c>
      <c r="E338" s="12"/>
    </row>
    <row r="339" spans="1:5" ht="15" customHeight="1" x14ac:dyDescent="0.2">
      <c r="A339" s="291" t="s">
        <v>160</v>
      </c>
      <c r="B339" s="292"/>
      <c r="C339" s="49"/>
      <c r="D339" s="57"/>
      <c r="E339" s="12"/>
    </row>
    <row r="340" spans="1:5" ht="15" customHeight="1" x14ac:dyDescent="0.2">
      <c r="A340" s="293" t="str">
        <f>"for the month of "&amp;TEXT(E336," mmmm, yyyy")</f>
        <v>for the month of  August, 2021</v>
      </c>
      <c r="B340" s="292"/>
      <c r="C340" s="49"/>
      <c r="D340" s="57"/>
      <c r="E340" s="12"/>
    </row>
    <row r="341" spans="1:5" ht="24.75" customHeight="1" x14ac:dyDescent="0.2">
      <c r="A341" s="293" t="str">
        <f>"approved by Branch Head dated on "&amp;TEXT(E336," dd-mm-yy")</f>
        <v>approved by Branch Head dated on  29-08-21</v>
      </c>
      <c r="B341" s="292"/>
      <c r="C341" s="49"/>
      <c r="D341" s="57"/>
      <c r="E341" s="12"/>
    </row>
    <row r="342" spans="1:5" ht="15" customHeight="1" x14ac:dyDescent="0.2">
      <c r="A342" s="291" t="s">
        <v>129</v>
      </c>
      <c r="B342" s="292"/>
      <c r="C342" s="49"/>
      <c r="D342" s="57"/>
      <c r="E342" s="12"/>
    </row>
    <row r="343" spans="1:5" ht="15" customHeight="1" x14ac:dyDescent="0.2">
      <c r="A343" s="288" t="s">
        <v>70</v>
      </c>
      <c r="B343" s="289"/>
      <c r="C343" s="290"/>
      <c r="D343" s="58">
        <f>D338</f>
        <v>11229</v>
      </c>
      <c r="E343" s="12"/>
    </row>
    <row r="344" spans="1:5" ht="15" customHeight="1" x14ac:dyDescent="0.2">
      <c r="A344" s="42" t="s">
        <v>53</v>
      </c>
      <c r="B344" s="52"/>
      <c r="C344" s="45"/>
      <c r="D344" s="50"/>
      <c r="E344" s="12"/>
    </row>
    <row r="345" spans="1:5" ht="15" customHeight="1" x14ac:dyDescent="0.2">
      <c r="A345" s="100"/>
      <c r="B345" s="67"/>
      <c r="C345" s="46"/>
      <c r="D345" s="50"/>
      <c r="E345" s="12"/>
    </row>
    <row r="346" spans="1:5" ht="15" customHeight="1" x14ac:dyDescent="0.2">
      <c r="A346" s="295" t="s">
        <v>154</v>
      </c>
      <c r="B346" s="296"/>
      <c r="C346" s="152" t="s">
        <v>156</v>
      </c>
      <c r="D346" s="50"/>
      <c r="E346" s="12"/>
    </row>
    <row r="347" spans="1:5" ht="15" customHeight="1" x14ac:dyDescent="0.2">
      <c r="A347" s="101"/>
      <c r="B347" s="99"/>
      <c r="C347" s="46"/>
      <c r="D347" s="50"/>
      <c r="E347" s="12"/>
    </row>
    <row r="348" spans="1:5" ht="17.25" customHeight="1" x14ac:dyDescent="0.2">
      <c r="A348" s="102"/>
      <c r="B348" s="98"/>
      <c r="C348" s="46"/>
      <c r="D348" s="50"/>
      <c r="E348" s="12"/>
    </row>
    <row r="349" spans="1:5" ht="18.75" customHeight="1" x14ac:dyDescent="0.2">
      <c r="A349" s="51"/>
      <c r="B349" s="61"/>
      <c r="C349" s="46"/>
      <c r="D349" s="54"/>
      <c r="E349" s="12"/>
    </row>
    <row r="350" spans="1:5" ht="15" customHeight="1" x14ac:dyDescent="0.2">
      <c r="A350" s="288" t="s">
        <v>37</v>
      </c>
      <c r="B350" s="289"/>
      <c r="C350" s="290"/>
      <c r="D350" s="60"/>
      <c r="E350" s="12"/>
    </row>
    <row r="351" spans="1:5" ht="15" customHeight="1" x14ac:dyDescent="0.2">
      <c r="A351" s="51" t="s">
        <v>69</v>
      </c>
      <c r="B351" s="294" t="str">
        <f>B327</f>
        <v>Taka Eleven thousand Two hundred Twenty nine Only</v>
      </c>
      <c r="C351" s="294"/>
      <c r="D351" s="294"/>
      <c r="E351" s="287"/>
    </row>
    <row r="352" spans="1:5" ht="15" customHeight="1" x14ac:dyDescent="0.2">
      <c r="A352" s="47"/>
      <c r="B352" s="162"/>
      <c r="C352" s="162"/>
      <c r="D352" s="162"/>
      <c r="E352" s="162"/>
    </row>
    <row r="353" spans="1:5" ht="15" customHeight="1" x14ac:dyDescent="0.2">
      <c r="A353" s="47"/>
      <c r="B353" s="47"/>
      <c r="C353" s="47"/>
      <c r="D353" s="47"/>
      <c r="E353" s="47"/>
    </row>
    <row r="354" spans="1:5" ht="15" customHeight="1" x14ac:dyDescent="0.2">
      <c r="A354" s="47" t="s">
        <v>54</v>
      </c>
      <c r="B354" s="47"/>
      <c r="C354" s="47"/>
      <c r="D354" s="47"/>
      <c r="E354" s="47"/>
    </row>
    <row r="355" spans="1:5" ht="15" customHeight="1" x14ac:dyDescent="0.2">
      <c r="A355" s="47" t="s">
        <v>66</v>
      </c>
      <c r="B355" s="163"/>
      <c r="C355" s="234" t="s">
        <v>198</v>
      </c>
      <c r="D355" s="282" t="s">
        <v>199</v>
      </c>
      <c r="E355" s="282"/>
    </row>
    <row r="356" spans="1:5" ht="15" customHeight="1" x14ac:dyDescent="0.2">
      <c r="A356" s="47"/>
      <c r="B356" s="163"/>
      <c r="C356" s="63"/>
      <c r="D356" s="231"/>
      <c r="E356" s="231"/>
    </row>
    <row r="357" spans="1:5" ht="15" customHeight="1" x14ac:dyDescent="0.2">
      <c r="A357" s="47"/>
      <c r="B357" s="163"/>
      <c r="C357" s="63"/>
      <c r="D357" s="173"/>
      <c r="E357" s="173"/>
    </row>
    <row r="358" spans="1:5" ht="15" customHeight="1" x14ac:dyDescent="0.2">
      <c r="A358" s="283" t="s">
        <v>45</v>
      </c>
      <c r="B358" s="283"/>
      <c r="C358" s="283"/>
      <c r="D358" s="283"/>
      <c r="E358" s="62" t="s">
        <v>46</v>
      </c>
    </row>
    <row r="359" spans="1:5" ht="15" customHeight="1" x14ac:dyDescent="0.2">
      <c r="A359" s="47" t="s">
        <v>47</v>
      </c>
      <c r="B359" s="41" t="s">
        <v>68</v>
      </c>
      <c r="D359" s="40" t="s">
        <v>67</v>
      </c>
      <c r="E359" s="59">
        <f>E289</f>
        <v>44437</v>
      </c>
    </row>
    <row r="360" spans="1:5" ht="27" customHeight="1" x14ac:dyDescent="0.2">
      <c r="A360" s="284" t="s">
        <v>48</v>
      </c>
      <c r="B360" s="285"/>
      <c r="C360" s="64" t="s">
        <v>49</v>
      </c>
      <c r="D360" s="65" t="s">
        <v>50</v>
      </c>
      <c r="E360" s="66" t="s">
        <v>51</v>
      </c>
    </row>
    <row r="361" spans="1:5" ht="15" customHeight="1" x14ac:dyDescent="0.2">
      <c r="A361" s="42" t="s">
        <v>52</v>
      </c>
      <c r="B361" s="43" t="s">
        <v>128</v>
      </c>
      <c r="C361" s="49" t="s">
        <v>119</v>
      </c>
      <c r="D361" s="57" t="s">
        <v>58</v>
      </c>
      <c r="E361" s="12"/>
    </row>
    <row r="362" spans="1:5" ht="15" customHeight="1" x14ac:dyDescent="0.2">
      <c r="A362" s="42"/>
      <c r="B362" s="43"/>
      <c r="C362" s="49"/>
      <c r="D362" s="57"/>
      <c r="E362" s="12"/>
    </row>
    <row r="363" spans="1:5" ht="15" customHeight="1" x14ac:dyDescent="0.2">
      <c r="A363" s="42"/>
      <c r="B363" s="43"/>
      <c r="C363" s="49"/>
      <c r="D363" s="57"/>
      <c r="E363" s="12"/>
    </row>
    <row r="364" spans="1:5" ht="23.25" customHeight="1" x14ac:dyDescent="0.2">
      <c r="A364" s="42"/>
      <c r="B364" s="43"/>
      <c r="C364" s="49"/>
      <c r="D364" s="57"/>
      <c r="E364" s="12"/>
    </row>
    <row r="365" spans="1:5" ht="15" customHeight="1" x14ac:dyDescent="0.2">
      <c r="A365" s="288" t="s">
        <v>70</v>
      </c>
      <c r="B365" s="289"/>
      <c r="C365" s="290"/>
      <c r="D365" s="58" t="str">
        <f>D361</f>
        <v>-</v>
      </c>
      <c r="E365" s="12"/>
    </row>
    <row r="366" spans="1:5" ht="15" customHeight="1" x14ac:dyDescent="0.2">
      <c r="A366" s="42" t="s">
        <v>53</v>
      </c>
      <c r="B366" s="52" t="s">
        <v>73</v>
      </c>
      <c r="C366" s="152" t="s">
        <v>182</v>
      </c>
      <c r="D366" s="50">
        <f>SalarySheet!S21</f>
        <v>11229</v>
      </c>
      <c r="E366" s="12"/>
    </row>
    <row r="367" spans="1:5" ht="15" customHeight="1" x14ac:dyDescent="0.2">
      <c r="A367" s="291" t="s">
        <v>162</v>
      </c>
      <c r="B367" s="297"/>
      <c r="C367" s="46"/>
      <c r="D367" s="50"/>
      <c r="E367" s="12"/>
    </row>
    <row r="368" spans="1:5" ht="15" customHeight="1" x14ac:dyDescent="0.2">
      <c r="A368" s="293" t="str">
        <f>"for the month of "&amp;TEXT(E359," mmmm, yyyy")</f>
        <v>for the month of  August, 2021</v>
      </c>
      <c r="B368" s="292"/>
      <c r="C368" s="46"/>
      <c r="D368" s="50"/>
      <c r="E368" s="12"/>
    </row>
    <row r="369" spans="1:5" ht="15" customHeight="1" x14ac:dyDescent="0.2">
      <c r="A369" s="293" t="str">
        <f>"approved by Branch Head dated on "&amp;TEXT(E359," dd-mm-yy")</f>
        <v>approved by Branch Head dated on  29-08-21</v>
      </c>
      <c r="B369" s="292"/>
      <c r="C369" s="46"/>
      <c r="D369" s="50"/>
      <c r="E369" s="12"/>
    </row>
    <row r="370" spans="1:5" ht="15" customHeight="1" x14ac:dyDescent="0.2">
      <c r="A370" s="291" t="s">
        <v>129</v>
      </c>
      <c r="B370" s="297"/>
      <c r="C370" s="46"/>
      <c r="D370" s="50"/>
      <c r="E370" s="12"/>
    </row>
    <row r="371" spans="1:5" ht="24" customHeight="1" x14ac:dyDescent="0.2">
      <c r="A371" s="53"/>
      <c r="B371" s="61"/>
      <c r="C371" s="46"/>
      <c r="D371" s="54"/>
      <c r="E371" s="12"/>
    </row>
    <row r="372" spans="1:5" ht="15" customHeight="1" x14ac:dyDescent="0.2">
      <c r="A372" s="288" t="s">
        <v>70</v>
      </c>
      <c r="B372" s="289"/>
      <c r="C372" s="290"/>
      <c r="D372" s="60">
        <f>SUM(D366:D371)</f>
        <v>11229</v>
      </c>
      <c r="E372" s="12"/>
    </row>
    <row r="373" spans="1:5" ht="15" customHeight="1" x14ac:dyDescent="0.2">
      <c r="A373" s="52" t="s">
        <v>69</v>
      </c>
      <c r="B373" s="294" t="str">
        <f>B351</f>
        <v>Taka Eleven thousand Two hundred Twenty nine Only</v>
      </c>
      <c r="C373" s="294"/>
      <c r="D373" s="294"/>
      <c r="E373" s="287"/>
    </row>
    <row r="374" spans="1:5" ht="8.25" customHeight="1" x14ac:dyDescent="0.2">
      <c r="A374" s="47"/>
      <c r="B374" s="127"/>
      <c r="C374" s="127"/>
      <c r="D374" s="127"/>
      <c r="E374" s="127"/>
    </row>
    <row r="375" spans="1:5" ht="12" customHeight="1" x14ac:dyDescent="0.2">
      <c r="A375" s="47"/>
      <c r="B375" s="47"/>
      <c r="C375" s="47"/>
      <c r="D375" s="47"/>
      <c r="E375" s="47"/>
    </row>
    <row r="376" spans="1:5" ht="15" customHeight="1" x14ac:dyDescent="0.2">
      <c r="A376" s="47" t="s">
        <v>54</v>
      </c>
      <c r="B376" s="47"/>
      <c r="C376" s="47"/>
      <c r="D376" s="47"/>
      <c r="E376" s="47"/>
    </row>
    <row r="377" spans="1:5" ht="15" customHeight="1" x14ac:dyDescent="0.2">
      <c r="A377" s="47" t="s">
        <v>66</v>
      </c>
      <c r="B377" s="56"/>
      <c r="C377" s="234" t="s">
        <v>198</v>
      </c>
      <c r="D377" s="282" t="s">
        <v>199</v>
      </c>
      <c r="E377" s="282"/>
    </row>
    <row r="378" spans="1:5" ht="15" customHeight="1" x14ac:dyDescent="0.2">
      <c r="A378" s="47"/>
      <c r="B378" s="163"/>
      <c r="C378" s="63"/>
      <c r="D378" s="196"/>
      <c r="E378" s="196"/>
    </row>
    <row r="379" spans="1:5" ht="15" customHeight="1" x14ac:dyDescent="0.2">
      <c r="A379" s="47"/>
      <c r="B379" s="163"/>
      <c r="C379" s="63"/>
      <c r="D379" s="243"/>
      <c r="E379" s="243"/>
    </row>
    <row r="381" spans="1:5" ht="15" customHeight="1" x14ac:dyDescent="0.2">
      <c r="A381" s="283" t="s">
        <v>45</v>
      </c>
      <c r="B381" s="283"/>
      <c r="C381" s="283"/>
      <c r="D381" s="283"/>
      <c r="E381" s="62" t="s">
        <v>46</v>
      </c>
    </row>
    <row r="382" spans="1:5" ht="15" customHeight="1" x14ac:dyDescent="0.2">
      <c r="A382" s="47" t="s">
        <v>47</v>
      </c>
      <c r="B382" s="41" t="s">
        <v>68</v>
      </c>
      <c r="D382" s="40" t="s">
        <v>67</v>
      </c>
      <c r="E382" s="59">
        <f>E243</f>
        <v>44437</v>
      </c>
    </row>
    <row r="383" spans="1:5" ht="24.75" customHeight="1" x14ac:dyDescent="0.2">
      <c r="A383" s="284" t="s">
        <v>48</v>
      </c>
      <c r="B383" s="285"/>
      <c r="C383" s="64" t="s">
        <v>49</v>
      </c>
      <c r="D383" s="65" t="s">
        <v>50</v>
      </c>
      <c r="E383" s="66" t="s">
        <v>51</v>
      </c>
    </row>
    <row r="384" spans="1:5" ht="15" customHeight="1" x14ac:dyDescent="0.2">
      <c r="A384" s="51" t="s">
        <v>52</v>
      </c>
      <c r="B384" s="164" t="s">
        <v>131</v>
      </c>
      <c r="C384" s="49" t="s">
        <v>125</v>
      </c>
      <c r="D384" s="57">
        <f>SalarySheet!P21</f>
        <v>34334</v>
      </c>
      <c r="E384" s="12"/>
    </row>
    <row r="385" spans="1:5" ht="15" customHeight="1" x14ac:dyDescent="0.2">
      <c r="A385" s="291" t="s">
        <v>159</v>
      </c>
      <c r="B385" s="292"/>
      <c r="C385" s="49"/>
      <c r="D385" s="57"/>
      <c r="E385" s="12"/>
    </row>
    <row r="386" spans="1:5" ht="15" customHeight="1" x14ac:dyDescent="0.2">
      <c r="A386" s="293" t="str">
        <f>"Superannuation Fund for the month of "&amp;TEXT(E382," mmmm, yyyy")</f>
        <v>Superannuation Fund for the month of  August, 2021</v>
      </c>
      <c r="B386" s="292"/>
      <c r="C386" s="49"/>
      <c r="D386" s="57"/>
      <c r="E386" s="12"/>
    </row>
    <row r="387" spans="1:5" ht="27.75" customHeight="1" x14ac:dyDescent="0.2">
      <c r="A387" s="293" t="str">
        <f>"approved by Branch Head dated on "&amp;TEXT(E382," dd-mm-yy")</f>
        <v>approved by Branch Head dated on  29-08-21</v>
      </c>
      <c r="B387" s="292"/>
      <c r="C387" s="49"/>
      <c r="D387" s="57"/>
      <c r="E387" s="12"/>
    </row>
    <row r="388" spans="1:5" ht="15" customHeight="1" x14ac:dyDescent="0.2">
      <c r="A388" s="291" t="s">
        <v>129</v>
      </c>
      <c r="B388" s="292"/>
      <c r="C388" s="49"/>
      <c r="D388" s="57"/>
      <c r="E388" s="12"/>
    </row>
    <row r="389" spans="1:5" ht="15" customHeight="1" x14ac:dyDescent="0.2">
      <c r="A389" s="288" t="s">
        <v>70</v>
      </c>
      <c r="B389" s="289"/>
      <c r="C389" s="290"/>
      <c r="D389" s="58">
        <f>D384</f>
        <v>34334</v>
      </c>
      <c r="E389" s="12"/>
    </row>
    <row r="390" spans="1:5" ht="15" customHeight="1" x14ac:dyDescent="0.2">
      <c r="A390" s="42" t="s">
        <v>53</v>
      </c>
      <c r="B390" s="52"/>
      <c r="C390" s="45"/>
      <c r="D390" s="50">
        <f>SalarySheet!P140</f>
        <v>0</v>
      </c>
      <c r="E390" s="12"/>
    </row>
    <row r="391" spans="1:5" ht="15" customHeight="1" x14ac:dyDescent="0.2">
      <c r="A391" s="100"/>
      <c r="B391" s="67"/>
      <c r="C391" s="46"/>
      <c r="D391" s="50"/>
      <c r="E391" s="12"/>
    </row>
    <row r="392" spans="1:5" ht="15" customHeight="1" x14ac:dyDescent="0.2">
      <c r="A392" s="295" t="s">
        <v>71</v>
      </c>
      <c r="B392" s="296"/>
      <c r="C392" s="152" t="s">
        <v>155</v>
      </c>
      <c r="D392" s="50"/>
      <c r="E392" s="12"/>
    </row>
    <row r="393" spans="1:5" ht="15" customHeight="1" x14ac:dyDescent="0.2">
      <c r="A393" s="101"/>
      <c r="B393" s="99"/>
      <c r="C393" s="46"/>
      <c r="D393" s="50"/>
      <c r="E393" s="12"/>
    </row>
    <row r="394" spans="1:5" ht="24" customHeight="1" x14ac:dyDescent="0.2">
      <c r="A394" s="102"/>
      <c r="B394" s="98"/>
      <c r="C394" s="46"/>
      <c r="D394" s="50"/>
      <c r="E394" s="12"/>
    </row>
    <row r="395" spans="1:5" ht="15" customHeight="1" x14ac:dyDescent="0.2">
      <c r="A395" s="51"/>
      <c r="B395" s="61"/>
      <c r="C395" s="46"/>
      <c r="D395" s="54"/>
      <c r="E395" s="12"/>
    </row>
    <row r="396" spans="1:5" ht="15" customHeight="1" x14ac:dyDescent="0.2">
      <c r="A396" s="288" t="s">
        <v>37</v>
      </c>
      <c r="B396" s="289"/>
      <c r="C396" s="290"/>
      <c r="D396" s="60">
        <f>SUM(D390:D395)</f>
        <v>0</v>
      </c>
      <c r="E396" s="12"/>
    </row>
    <row r="397" spans="1:5" ht="24" customHeight="1" x14ac:dyDescent="0.2">
      <c r="A397" s="51" t="s">
        <v>69</v>
      </c>
      <c r="B397" s="294" t="str">
        <f>B304</f>
        <v>Taka Thirty Four Thousand Three Hundred  Thirty Four Only</v>
      </c>
      <c r="C397" s="294"/>
      <c r="D397" s="294"/>
      <c r="E397" s="287"/>
    </row>
    <row r="398" spans="1:5" ht="12.75" customHeight="1" x14ac:dyDescent="0.2">
      <c r="A398" s="47"/>
      <c r="B398" s="127"/>
      <c r="C398" s="127"/>
      <c r="D398" s="127"/>
      <c r="E398" s="127"/>
    </row>
    <row r="399" spans="1:5" ht="9.75" customHeight="1" x14ac:dyDescent="0.2">
      <c r="A399" s="47"/>
      <c r="B399" s="47"/>
      <c r="C399" s="47"/>
      <c r="D399" s="47"/>
      <c r="E399" s="47"/>
    </row>
    <row r="400" spans="1:5" ht="15" customHeight="1" x14ac:dyDescent="0.2">
      <c r="A400" s="47" t="s">
        <v>54</v>
      </c>
      <c r="B400" s="47"/>
      <c r="C400" s="47"/>
      <c r="D400" s="47"/>
      <c r="E400" s="47"/>
    </row>
    <row r="401" spans="1:5" ht="17.25" customHeight="1" x14ac:dyDescent="0.2">
      <c r="A401" s="47" t="s">
        <v>66</v>
      </c>
      <c r="B401" s="233"/>
      <c r="C401" s="234" t="s">
        <v>198</v>
      </c>
      <c r="D401" s="282" t="s">
        <v>199</v>
      </c>
      <c r="E401" s="282"/>
    </row>
    <row r="402" spans="1:5" ht="15" customHeight="1" x14ac:dyDescent="0.2">
      <c r="A402" s="47"/>
      <c r="B402" s="163"/>
      <c r="C402" s="63"/>
      <c r="D402" s="231"/>
      <c r="E402" s="231"/>
    </row>
    <row r="403" spans="1:5" ht="15" customHeight="1" x14ac:dyDescent="0.2">
      <c r="A403" s="47"/>
      <c r="B403" s="163"/>
      <c r="C403" s="63"/>
      <c r="D403" s="195"/>
      <c r="E403" s="195"/>
    </row>
    <row r="404" spans="1:5" ht="15" customHeight="1" x14ac:dyDescent="0.2">
      <c r="A404" s="283" t="s">
        <v>45</v>
      </c>
      <c r="B404" s="283"/>
      <c r="C404" s="283"/>
      <c r="D404" s="283"/>
      <c r="E404" s="62" t="s">
        <v>46</v>
      </c>
    </row>
    <row r="405" spans="1:5" ht="15" customHeight="1" x14ac:dyDescent="0.2">
      <c r="A405" s="47" t="s">
        <v>47</v>
      </c>
      <c r="B405" s="41" t="s">
        <v>68</v>
      </c>
      <c r="D405" s="40" t="s">
        <v>67</v>
      </c>
      <c r="E405" s="59">
        <f>E382</f>
        <v>44437</v>
      </c>
    </row>
    <row r="406" spans="1:5" ht="23.25" customHeight="1" x14ac:dyDescent="0.2">
      <c r="A406" s="284" t="s">
        <v>48</v>
      </c>
      <c r="B406" s="285"/>
      <c r="C406" s="64" t="s">
        <v>49</v>
      </c>
      <c r="D406" s="65" t="s">
        <v>50</v>
      </c>
      <c r="E406" s="66" t="s">
        <v>51</v>
      </c>
    </row>
    <row r="407" spans="1:5" ht="15" customHeight="1" x14ac:dyDescent="0.2">
      <c r="A407" s="51" t="s">
        <v>52</v>
      </c>
      <c r="B407" s="164" t="s">
        <v>128</v>
      </c>
      <c r="C407" s="49" t="s">
        <v>119</v>
      </c>
      <c r="D407" s="57">
        <f>SalarySheet!S21</f>
        <v>11229</v>
      </c>
      <c r="E407" s="12"/>
    </row>
    <row r="408" spans="1:5" ht="15" customHeight="1" x14ac:dyDescent="0.2">
      <c r="A408" s="291" t="s">
        <v>161</v>
      </c>
      <c r="B408" s="292"/>
      <c r="C408" s="49"/>
      <c r="D408" s="57"/>
      <c r="E408" s="12"/>
    </row>
    <row r="409" spans="1:5" ht="15" customHeight="1" x14ac:dyDescent="0.2">
      <c r="A409" s="293" t="str">
        <f>"Provident Fund for the month of "&amp;TEXT(E405," mmmm, yyyy")</f>
        <v>Provident Fund for the month of  August, 2021</v>
      </c>
      <c r="B409" s="292"/>
      <c r="C409" s="49"/>
      <c r="D409" s="57"/>
      <c r="E409" s="12"/>
    </row>
    <row r="410" spans="1:5" ht="24.75" customHeight="1" x14ac:dyDescent="0.2">
      <c r="A410" s="293" t="str">
        <f>"approved by Branch Head dated on "&amp;TEXT(E405," dd-mm-yy")</f>
        <v>approved by Branch Head dated on  29-08-21</v>
      </c>
      <c r="B410" s="292"/>
      <c r="C410" s="49"/>
      <c r="D410" s="57"/>
      <c r="E410" s="12"/>
    </row>
    <row r="411" spans="1:5" ht="15" customHeight="1" x14ac:dyDescent="0.2">
      <c r="A411" s="291" t="s">
        <v>129</v>
      </c>
      <c r="B411" s="292"/>
      <c r="C411" s="49"/>
      <c r="D411" s="57"/>
      <c r="E411" s="12"/>
    </row>
    <row r="412" spans="1:5" ht="15" customHeight="1" x14ac:dyDescent="0.2">
      <c r="A412" s="288" t="s">
        <v>70</v>
      </c>
      <c r="B412" s="289"/>
      <c r="C412" s="290"/>
      <c r="D412" s="58">
        <f>D407</f>
        <v>11229</v>
      </c>
      <c r="E412" s="12"/>
    </row>
    <row r="413" spans="1:5" ht="15" customHeight="1" x14ac:dyDescent="0.2">
      <c r="A413" s="42" t="s">
        <v>53</v>
      </c>
      <c r="B413" s="52"/>
      <c r="C413" s="45"/>
      <c r="D413" s="50"/>
      <c r="E413" s="12"/>
    </row>
    <row r="414" spans="1:5" ht="15" customHeight="1" x14ac:dyDescent="0.2">
      <c r="A414" s="100"/>
      <c r="B414" s="67"/>
      <c r="C414" s="46"/>
      <c r="D414" s="50"/>
      <c r="E414" s="12"/>
    </row>
    <row r="415" spans="1:5" ht="15" customHeight="1" x14ac:dyDescent="0.2">
      <c r="A415" s="295" t="s">
        <v>73</v>
      </c>
      <c r="B415" s="296"/>
      <c r="C415" s="152" t="s">
        <v>182</v>
      </c>
      <c r="D415" s="50"/>
      <c r="E415" s="12"/>
    </row>
    <row r="416" spans="1:5" ht="15" customHeight="1" x14ac:dyDescent="0.2">
      <c r="A416" s="101"/>
      <c r="B416" s="99"/>
      <c r="C416" s="46"/>
      <c r="D416" s="50"/>
      <c r="E416" s="12"/>
    </row>
    <row r="417" spans="1:5" ht="22.5" customHeight="1" x14ac:dyDescent="0.2">
      <c r="A417" s="102"/>
      <c r="B417" s="98"/>
      <c r="C417" s="46"/>
      <c r="D417" s="50"/>
      <c r="E417" s="12"/>
    </row>
    <row r="418" spans="1:5" ht="15" customHeight="1" x14ac:dyDescent="0.2">
      <c r="A418" s="51"/>
      <c r="B418" s="61"/>
      <c r="C418" s="46"/>
      <c r="D418" s="54"/>
      <c r="E418" s="12"/>
    </row>
    <row r="419" spans="1:5" ht="15" customHeight="1" x14ac:dyDescent="0.2">
      <c r="A419" s="288" t="s">
        <v>37</v>
      </c>
      <c r="B419" s="289"/>
      <c r="C419" s="290"/>
      <c r="D419" s="60"/>
      <c r="E419" s="12"/>
    </row>
    <row r="420" spans="1:5" ht="22.5" customHeight="1" x14ac:dyDescent="0.2">
      <c r="A420" s="51" t="s">
        <v>69</v>
      </c>
      <c r="B420" s="294" t="str">
        <f>B373</f>
        <v>Taka Eleven thousand Two hundred Twenty nine Only</v>
      </c>
      <c r="C420" s="294"/>
      <c r="D420" s="294"/>
      <c r="E420" s="287"/>
    </row>
    <row r="421" spans="1:5" ht="15" customHeight="1" x14ac:dyDescent="0.2">
      <c r="A421" s="47"/>
      <c r="B421" s="47"/>
      <c r="C421" s="47"/>
      <c r="D421" s="47"/>
      <c r="E421" s="47"/>
    </row>
    <row r="422" spans="1:5" ht="14.25" customHeight="1" x14ac:dyDescent="0.2">
      <c r="A422" s="47" t="s">
        <v>54</v>
      </c>
      <c r="B422" s="47"/>
      <c r="C422" s="47"/>
      <c r="D422" s="47"/>
      <c r="E422" s="47"/>
    </row>
    <row r="423" spans="1:5" ht="15" customHeight="1" x14ac:dyDescent="0.2">
      <c r="A423" s="47" t="s">
        <v>66</v>
      </c>
      <c r="B423" s="56"/>
      <c r="C423" s="234" t="s">
        <v>198</v>
      </c>
      <c r="D423" s="282" t="s">
        <v>199</v>
      </c>
      <c r="E423" s="282"/>
    </row>
    <row r="424" spans="1:5" ht="13.5" customHeight="1" x14ac:dyDescent="0.2">
      <c r="A424" s="47"/>
      <c r="B424" s="163"/>
      <c r="C424" s="63"/>
      <c r="D424" s="189"/>
      <c r="E424" s="189"/>
    </row>
    <row r="425" spans="1:5" ht="13.5" customHeight="1" x14ac:dyDescent="0.2">
      <c r="A425" s="47"/>
      <c r="B425" s="163"/>
      <c r="C425" s="63"/>
      <c r="D425" s="242"/>
      <c r="E425" s="242"/>
    </row>
    <row r="426" spans="1:5" ht="15" customHeight="1" x14ac:dyDescent="0.2">
      <c r="A426" s="47"/>
      <c r="B426" s="163"/>
      <c r="C426" s="63"/>
      <c r="D426" s="189"/>
      <c r="E426" s="189"/>
    </row>
    <row r="427" spans="1:5" ht="15" customHeight="1" x14ac:dyDescent="0.2">
      <c r="A427" s="283" t="s">
        <v>45</v>
      </c>
      <c r="B427" s="283"/>
      <c r="C427" s="283"/>
      <c r="D427" s="283"/>
      <c r="E427" s="62" t="s">
        <v>46</v>
      </c>
    </row>
    <row r="428" spans="1:5" ht="15" customHeight="1" x14ac:dyDescent="0.2">
      <c r="A428" s="47" t="s">
        <v>47</v>
      </c>
      <c r="B428" s="41" t="s">
        <v>68</v>
      </c>
      <c r="D428" s="40" t="s">
        <v>67</v>
      </c>
      <c r="E428" s="59">
        <f>E405</f>
        <v>44437</v>
      </c>
    </row>
    <row r="429" spans="1:5" ht="22.5" customHeight="1" x14ac:dyDescent="0.2">
      <c r="A429" s="284" t="s">
        <v>48</v>
      </c>
      <c r="B429" s="285"/>
      <c r="C429" s="64" t="s">
        <v>49</v>
      </c>
      <c r="D429" s="203" t="s">
        <v>50</v>
      </c>
      <c r="E429" s="66" t="s">
        <v>51</v>
      </c>
    </row>
    <row r="430" spans="1:5" ht="15" customHeight="1" x14ac:dyDescent="0.2">
      <c r="A430" s="42" t="s">
        <v>52</v>
      </c>
      <c r="B430" s="43" t="s">
        <v>121</v>
      </c>
      <c r="C430" s="49" t="s">
        <v>113</v>
      </c>
      <c r="D430" s="57"/>
      <c r="E430" s="12"/>
    </row>
    <row r="431" spans="1:5" ht="23.25" customHeight="1" x14ac:dyDescent="0.2">
      <c r="A431" s="42"/>
      <c r="B431" s="43"/>
      <c r="C431" s="49"/>
      <c r="D431" s="57"/>
      <c r="E431" s="12"/>
    </row>
    <row r="432" spans="1:5" ht="15" customHeight="1" x14ac:dyDescent="0.2">
      <c r="A432" s="42"/>
      <c r="B432" s="43"/>
      <c r="C432" s="49"/>
      <c r="D432" s="57"/>
      <c r="E432" s="12"/>
    </row>
    <row r="433" spans="1:5" ht="15" customHeight="1" x14ac:dyDescent="0.2">
      <c r="A433" s="42"/>
      <c r="B433" s="43"/>
      <c r="C433" s="49"/>
      <c r="D433" s="57"/>
      <c r="E433" s="12"/>
    </row>
    <row r="434" spans="1:5" ht="15" customHeight="1" x14ac:dyDescent="0.2">
      <c r="A434" s="288" t="s">
        <v>70</v>
      </c>
      <c r="B434" s="289"/>
      <c r="C434" s="290"/>
      <c r="D434" s="58"/>
      <c r="E434" s="12"/>
    </row>
    <row r="435" spans="1:5" ht="26.25" customHeight="1" x14ac:dyDescent="0.2">
      <c r="A435" s="42" t="s">
        <v>53</v>
      </c>
      <c r="B435" s="151" t="s">
        <v>186</v>
      </c>
      <c r="C435" s="152" t="s">
        <v>113</v>
      </c>
      <c r="D435" s="50">
        <f>'PF Loan'!E14</f>
        <v>7168</v>
      </c>
      <c r="E435" s="12"/>
    </row>
    <row r="436" spans="1:5" ht="15" customHeight="1" x14ac:dyDescent="0.2">
      <c r="A436" s="291" t="s">
        <v>180</v>
      </c>
      <c r="B436" s="297"/>
      <c r="C436" s="46"/>
      <c r="D436" s="50"/>
      <c r="E436" s="12"/>
    </row>
    <row r="437" spans="1:5" ht="15" customHeight="1" x14ac:dyDescent="0.2">
      <c r="A437" s="298" t="s">
        <v>181</v>
      </c>
      <c r="B437" s="300"/>
      <c r="C437" s="46"/>
      <c r="D437" s="50"/>
      <c r="E437" s="12"/>
    </row>
    <row r="438" spans="1:5" ht="15" customHeight="1" x14ac:dyDescent="0.2">
      <c r="A438" s="293" t="str">
        <f>"for the month of "&amp;TEXT(E428," mmmm, yyyy")</f>
        <v>for the month of  August, 2021</v>
      </c>
      <c r="B438" s="292"/>
      <c r="C438" s="46"/>
      <c r="D438" s="50"/>
      <c r="E438" s="12"/>
    </row>
    <row r="439" spans="1:5" ht="15" customHeight="1" x14ac:dyDescent="0.2">
      <c r="A439" s="293" t="str">
        <f>"approved by Branch Head dated on "&amp;TEXT(E428," dd-mm-yy")</f>
        <v>approved by Branch Head dated on  29-08-21</v>
      </c>
      <c r="B439" s="292"/>
      <c r="C439" s="46"/>
      <c r="D439" s="50"/>
      <c r="E439" s="12"/>
    </row>
    <row r="440" spans="1:5" ht="15" customHeight="1" x14ac:dyDescent="0.2">
      <c r="A440" s="291" t="s">
        <v>129</v>
      </c>
      <c r="B440" s="297"/>
      <c r="C440" s="46"/>
      <c r="D440" s="50"/>
      <c r="E440" s="12"/>
    </row>
    <row r="441" spans="1:5" ht="15" customHeight="1" x14ac:dyDescent="0.2">
      <c r="A441" s="53"/>
      <c r="B441" s="61"/>
      <c r="C441" s="46"/>
      <c r="D441" s="54"/>
      <c r="E441" s="12"/>
    </row>
    <row r="442" spans="1:5" ht="15" customHeight="1" x14ac:dyDescent="0.2">
      <c r="A442" s="288" t="s">
        <v>70</v>
      </c>
      <c r="B442" s="289"/>
      <c r="C442" s="290"/>
      <c r="D442" s="60">
        <f>SUM(D435:D441)</f>
        <v>7168</v>
      </c>
      <c r="E442" s="12"/>
    </row>
    <row r="443" spans="1:5" ht="15" customHeight="1" x14ac:dyDescent="0.2">
      <c r="A443" s="52" t="s">
        <v>69</v>
      </c>
      <c r="B443" s="294" t="s">
        <v>191</v>
      </c>
      <c r="C443" s="294"/>
      <c r="D443" s="294"/>
      <c r="E443" s="287"/>
    </row>
    <row r="444" spans="1:5" ht="15" customHeight="1" x14ac:dyDescent="0.2">
      <c r="A444" s="47"/>
      <c r="B444" s="162"/>
      <c r="C444" s="162"/>
      <c r="D444" s="162"/>
      <c r="E444" s="162"/>
    </row>
    <row r="445" spans="1:5" ht="23.25" customHeight="1" x14ac:dyDescent="0.2">
      <c r="A445" s="47"/>
      <c r="B445" s="47"/>
      <c r="C445" s="47"/>
      <c r="D445" s="47"/>
      <c r="E445" s="47"/>
    </row>
    <row r="446" spans="1:5" ht="15" customHeight="1" x14ac:dyDescent="0.2">
      <c r="A446" s="47" t="s">
        <v>54</v>
      </c>
      <c r="B446" s="47"/>
      <c r="C446" s="47"/>
      <c r="D446" s="47"/>
      <c r="E446" s="47"/>
    </row>
    <row r="447" spans="1:5" ht="15" customHeight="1" x14ac:dyDescent="0.2">
      <c r="A447" s="47" t="s">
        <v>66</v>
      </c>
      <c r="B447" s="163"/>
      <c r="C447" s="234" t="s">
        <v>198</v>
      </c>
      <c r="D447" s="282" t="s">
        <v>199</v>
      </c>
      <c r="E447" s="282"/>
    </row>
  </sheetData>
  <dataConsolidate/>
  <mergeCells count="207">
    <mergeCell ref="D447:E447"/>
    <mergeCell ref="A437:B437"/>
    <mergeCell ref="A427:D427"/>
    <mergeCell ref="A429:B429"/>
    <mergeCell ref="A434:C434"/>
    <mergeCell ref="A436:B436"/>
    <mergeCell ref="A438:B438"/>
    <mergeCell ref="A439:B439"/>
    <mergeCell ref="A440:B440"/>
    <mergeCell ref="A442:C442"/>
    <mergeCell ref="B443:E443"/>
    <mergeCell ref="D423:E423"/>
    <mergeCell ref="A408:B408"/>
    <mergeCell ref="A392:B392"/>
    <mergeCell ref="A404:D404"/>
    <mergeCell ref="A247:B247"/>
    <mergeCell ref="B397:E397"/>
    <mergeCell ref="A411:B411"/>
    <mergeCell ref="B420:E420"/>
    <mergeCell ref="A396:C396"/>
    <mergeCell ref="A253:B253"/>
    <mergeCell ref="A387:B387"/>
    <mergeCell ref="A386:B386"/>
    <mergeCell ref="A381:D381"/>
    <mergeCell ref="A419:C419"/>
    <mergeCell ref="A367:B367"/>
    <mergeCell ref="A368:B368"/>
    <mergeCell ref="A415:B415"/>
    <mergeCell ref="A410:B410"/>
    <mergeCell ref="A412:C412"/>
    <mergeCell ref="A341:B341"/>
    <mergeCell ref="A383:B383"/>
    <mergeCell ref="A389:C389"/>
    <mergeCell ref="A385:B385"/>
    <mergeCell ref="A254:B254"/>
    <mergeCell ref="A37:B37"/>
    <mergeCell ref="A38:B38"/>
    <mergeCell ref="A66:C66"/>
    <mergeCell ref="A62:B62"/>
    <mergeCell ref="B43:E43"/>
    <mergeCell ref="A33:B33"/>
    <mergeCell ref="A51:D51"/>
    <mergeCell ref="A53:B53"/>
    <mergeCell ref="A56:B56"/>
    <mergeCell ref="A40:B40"/>
    <mergeCell ref="B162:E162"/>
    <mergeCell ref="A63:B63"/>
    <mergeCell ref="A64:B64"/>
    <mergeCell ref="A1:D1"/>
    <mergeCell ref="A5:B5"/>
    <mergeCell ref="D23:E23"/>
    <mergeCell ref="A9:C9"/>
    <mergeCell ref="A18:C18"/>
    <mergeCell ref="A3:B3"/>
    <mergeCell ref="A6:B6"/>
    <mergeCell ref="A7:B7"/>
    <mergeCell ref="A8:B8"/>
    <mergeCell ref="B19:E19"/>
    <mergeCell ref="A59:C59"/>
    <mergeCell ref="A39:B39"/>
    <mergeCell ref="A61:B61"/>
    <mergeCell ref="A75:D75"/>
    <mergeCell ref="A77:B77"/>
    <mergeCell ref="B67:E67"/>
    <mergeCell ref="A28:D28"/>
    <mergeCell ref="A30:B30"/>
    <mergeCell ref="A35:C35"/>
    <mergeCell ref="A42:C42"/>
    <mergeCell ref="D47:E47"/>
    <mergeCell ref="D71:E71"/>
    <mergeCell ref="A80:B80"/>
    <mergeCell ref="B91:E91"/>
    <mergeCell ref="D118:E118"/>
    <mergeCell ref="A87:B87"/>
    <mergeCell ref="A90:C90"/>
    <mergeCell ref="A113:C113"/>
    <mergeCell ref="A148:B148"/>
    <mergeCell ref="A146:D146"/>
    <mergeCell ref="A83:C83"/>
    <mergeCell ref="A85:B85"/>
    <mergeCell ref="A86:B86"/>
    <mergeCell ref="D95:E95"/>
    <mergeCell ref="A110:B110"/>
    <mergeCell ref="A111:B111"/>
    <mergeCell ref="A98:D98"/>
    <mergeCell ref="A100:B100"/>
    <mergeCell ref="A103:B103"/>
    <mergeCell ref="A88:B88"/>
    <mergeCell ref="A106:C106"/>
    <mergeCell ref="A108:B108"/>
    <mergeCell ref="A109:B109"/>
    <mergeCell ref="A127:B127"/>
    <mergeCell ref="A122:D122"/>
    <mergeCell ref="B186:E186"/>
    <mergeCell ref="D166:E166"/>
    <mergeCell ref="A175:B175"/>
    <mergeCell ref="A178:C178"/>
    <mergeCell ref="A180:B180"/>
    <mergeCell ref="A183:B183"/>
    <mergeCell ref="A181:B181"/>
    <mergeCell ref="A182:B182"/>
    <mergeCell ref="A170:D170"/>
    <mergeCell ref="A185:C185"/>
    <mergeCell ref="A172:B172"/>
    <mergeCell ref="A276:B276"/>
    <mergeCell ref="A277:B277"/>
    <mergeCell ref="A278:B278"/>
    <mergeCell ref="A280:C280"/>
    <mergeCell ref="A229:B229"/>
    <mergeCell ref="A230:B230"/>
    <mergeCell ref="A231:B231"/>
    <mergeCell ref="A233:C233"/>
    <mergeCell ref="A244:B244"/>
    <mergeCell ref="A154:C154"/>
    <mergeCell ref="A151:B151"/>
    <mergeCell ref="A130:C130"/>
    <mergeCell ref="A137:C137"/>
    <mergeCell ref="B138:E138"/>
    <mergeCell ref="D142:E142"/>
    <mergeCell ref="A132:B132"/>
    <mergeCell ref="A133:B133"/>
    <mergeCell ref="A134:B134"/>
    <mergeCell ref="A135:B135"/>
    <mergeCell ref="A124:B124"/>
    <mergeCell ref="A370:B370"/>
    <mergeCell ref="A372:C372"/>
    <mergeCell ref="A339:B339"/>
    <mergeCell ref="A161:C161"/>
    <mergeCell ref="A158:B158"/>
    <mergeCell ref="A157:B157"/>
    <mergeCell ref="A159:B159"/>
    <mergeCell ref="A156:B156"/>
    <mergeCell ref="A322:B322"/>
    <mergeCell ref="A323:B323"/>
    <mergeCell ref="A324:B324"/>
    <mergeCell ref="B327:E327"/>
    <mergeCell ref="A319:C319"/>
    <mergeCell ref="A321:B321"/>
    <mergeCell ref="A255:B255"/>
    <mergeCell ref="A257:C257"/>
    <mergeCell ref="B304:E304"/>
    <mergeCell ref="A242:D242"/>
    <mergeCell ref="A301:B301"/>
    <mergeCell ref="A303:C303"/>
    <mergeCell ref="D308:E308"/>
    <mergeCell ref="A311:D311"/>
    <mergeCell ref="A313:B313"/>
    <mergeCell ref="A326:C326"/>
    <mergeCell ref="B114:E114"/>
    <mergeCell ref="D190:E190"/>
    <mergeCell ref="A288:D288"/>
    <mergeCell ref="A290:B290"/>
    <mergeCell ref="A293:B293"/>
    <mergeCell ref="A296:C296"/>
    <mergeCell ref="A250:C250"/>
    <mergeCell ref="A252:B252"/>
    <mergeCell ref="D285:E285"/>
    <mergeCell ref="A265:D265"/>
    <mergeCell ref="A267:B267"/>
    <mergeCell ref="A270:B270"/>
    <mergeCell ref="A273:C273"/>
    <mergeCell ref="B258:E258"/>
    <mergeCell ref="D238:E238"/>
    <mergeCell ref="A275:B275"/>
    <mergeCell ref="A220:B220"/>
    <mergeCell ref="A223:B223"/>
    <mergeCell ref="B281:E281"/>
    <mergeCell ref="A226:C226"/>
    <mergeCell ref="A228:B228"/>
    <mergeCell ref="D262:E262"/>
    <mergeCell ref="B234:E234"/>
    <mergeCell ref="A316:B316"/>
    <mergeCell ref="A409:B409"/>
    <mergeCell ref="A369:B369"/>
    <mergeCell ref="D401:E401"/>
    <mergeCell ref="A298:B298"/>
    <mergeCell ref="A299:B299"/>
    <mergeCell ref="A300:B300"/>
    <mergeCell ref="A358:D358"/>
    <mergeCell ref="A360:B360"/>
    <mergeCell ref="A350:C350"/>
    <mergeCell ref="B351:E351"/>
    <mergeCell ref="D355:E355"/>
    <mergeCell ref="D331:E331"/>
    <mergeCell ref="A406:B406"/>
    <mergeCell ref="A342:B342"/>
    <mergeCell ref="A343:C343"/>
    <mergeCell ref="A346:B346"/>
    <mergeCell ref="D377:E377"/>
    <mergeCell ref="A340:B340"/>
    <mergeCell ref="A388:B388"/>
    <mergeCell ref="B373:E373"/>
    <mergeCell ref="A365:C365"/>
    <mergeCell ref="A335:D335"/>
    <mergeCell ref="A337:B337"/>
    <mergeCell ref="D214:E214"/>
    <mergeCell ref="A194:D194"/>
    <mergeCell ref="A218:D218"/>
    <mergeCell ref="A196:B196"/>
    <mergeCell ref="A199:B199"/>
    <mergeCell ref="A202:C202"/>
    <mergeCell ref="A204:B204"/>
    <mergeCell ref="A205:B205"/>
    <mergeCell ref="A206:B206"/>
    <mergeCell ref="A207:B207"/>
    <mergeCell ref="A209:C209"/>
    <mergeCell ref="B210:E210"/>
  </mergeCells>
  <printOptions horizontalCentered="1"/>
  <pageMargins left="0.5" right="0.5" top="0.6" bottom="0.1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7"/>
  <sheetViews>
    <sheetView workbookViewId="0">
      <selection activeCell="A14" sqref="A14"/>
    </sheetView>
  </sheetViews>
  <sheetFormatPr defaultRowHeight="15.95" customHeight="1" x14ac:dyDescent="0.2"/>
  <cols>
    <col min="1" max="1" width="6" style="69" customWidth="1"/>
    <col min="2" max="2" width="25.28515625" style="69" customWidth="1"/>
    <col min="3" max="3" width="13" style="69" customWidth="1"/>
    <col min="4" max="4" width="12.7109375" style="69" customWidth="1"/>
    <col min="5" max="5" width="11.85546875" style="69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80"/>
      <c r="D3" s="80"/>
      <c r="E3" s="80"/>
      <c r="F3" s="80"/>
      <c r="G3" s="82"/>
    </row>
    <row r="4" spans="1:7" ht="15.95" customHeight="1" x14ac:dyDescent="0.2">
      <c r="A4" s="306" t="s">
        <v>95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89"/>
      <c r="F5" s="89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125"/>
      <c r="F6" s="83"/>
      <c r="G6" s="82"/>
    </row>
    <row r="7" spans="1:7" ht="15.95" customHeight="1" x14ac:dyDescent="0.2">
      <c r="A7" s="82"/>
      <c r="B7" s="73"/>
      <c r="C7" s="90"/>
      <c r="D7" s="83"/>
      <c r="E7" s="82"/>
      <c r="F7" s="82"/>
      <c r="G7" s="82"/>
    </row>
    <row r="8" spans="1:7" ht="46.5" customHeight="1" x14ac:dyDescent="0.2">
      <c r="A8" s="129" t="s">
        <v>81</v>
      </c>
      <c r="B8" s="129" t="s">
        <v>76</v>
      </c>
      <c r="C8" s="129" t="s">
        <v>77</v>
      </c>
      <c r="D8" s="129" t="s">
        <v>87</v>
      </c>
      <c r="E8" s="129" t="s">
        <v>96</v>
      </c>
      <c r="F8" s="129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s="72" customFormat="1" ht="15.95" customHeight="1" x14ac:dyDescent="0.2">
      <c r="A10" s="74">
        <v>1</v>
      </c>
      <c r="B10" s="75" t="str">
        <f>SalarySheet!C11</f>
        <v>Mrs Ashrafunnahar</v>
      </c>
      <c r="C10" s="74" t="str">
        <f>SalarySheet!D11</f>
        <v>PO</v>
      </c>
      <c r="D10" s="92">
        <f>SalarySheet!G11</f>
        <v>43170</v>
      </c>
      <c r="E10" s="86">
        <v>0.41</v>
      </c>
      <c r="F10" s="76">
        <f>SalarySheet!P11</f>
        <v>17700</v>
      </c>
      <c r="G10" s="82"/>
    </row>
    <row r="11" spans="1:7" ht="15.95" customHeight="1" x14ac:dyDescent="0.2">
      <c r="A11" s="74"/>
      <c r="B11" s="77" t="s">
        <v>79</v>
      </c>
      <c r="C11" s="74"/>
      <c r="D11" s="93">
        <f>SUM(D10:D10)</f>
        <v>43170</v>
      </c>
      <c r="E11" s="93"/>
      <c r="F11" s="93">
        <f>SUM(F10:F10)</f>
        <v>17700</v>
      </c>
    </row>
    <row r="12" spans="1:7" ht="15.95" customHeight="1" x14ac:dyDescent="0.2">
      <c r="A12" s="75"/>
      <c r="B12" s="301" t="s">
        <v>89</v>
      </c>
      <c r="C12" s="302"/>
      <c r="D12" s="302"/>
      <c r="E12" s="302"/>
      <c r="F12" s="303"/>
    </row>
    <row r="13" spans="1:7" ht="15.95" customHeight="1" x14ac:dyDescent="0.2">
      <c r="A13" s="74">
        <v>1</v>
      </c>
      <c r="B13" s="75" t="str">
        <f>SalarySheet!C17</f>
        <v xml:space="preserve">Md. Alamgir </v>
      </c>
      <c r="C13" s="74" t="str">
        <f>SalarySheet!D17</f>
        <v>SS-1</v>
      </c>
      <c r="D13" s="79">
        <f>SalarySheet!G17</f>
        <v>20290</v>
      </c>
      <c r="E13" s="86">
        <v>0.41</v>
      </c>
      <c r="F13" s="76">
        <f>SalarySheet!P17</f>
        <v>8319</v>
      </c>
    </row>
    <row r="14" spans="1:7" ht="15.95" customHeight="1" x14ac:dyDescent="0.2">
      <c r="A14" s="74">
        <v>2</v>
      </c>
      <c r="B14" s="75" t="str">
        <f>SalarySheet!C18</f>
        <v xml:space="preserve">Md. Khalil </v>
      </c>
      <c r="C14" s="74" t="str">
        <f>SalarySheet!D18</f>
        <v>SS-1</v>
      </c>
      <c r="D14" s="79">
        <f>SalarySheet!G18</f>
        <v>20280</v>
      </c>
      <c r="E14" s="86">
        <v>0.41</v>
      </c>
      <c r="F14" s="76">
        <f>SalarySheet!P18</f>
        <v>8315</v>
      </c>
    </row>
    <row r="15" spans="1:7" ht="15.95" customHeight="1" x14ac:dyDescent="0.2">
      <c r="A15" s="75"/>
      <c r="B15" s="77" t="s">
        <v>79</v>
      </c>
      <c r="C15" s="74"/>
      <c r="D15" s="93">
        <f>SUM(D13:D14)</f>
        <v>40570</v>
      </c>
      <c r="E15" s="85" t="s">
        <v>58</v>
      </c>
      <c r="F15" s="78">
        <f>SUM(F13:F14)</f>
        <v>16634</v>
      </c>
    </row>
    <row r="16" spans="1:7" ht="15.95" customHeight="1" x14ac:dyDescent="0.2">
      <c r="A16" s="75"/>
      <c r="B16" s="77" t="s">
        <v>83</v>
      </c>
      <c r="C16" s="74"/>
      <c r="D16" s="93">
        <f>SUM(D15+D11)</f>
        <v>83740</v>
      </c>
      <c r="E16" s="97" t="s">
        <v>58</v>
      </c>
      <c r="F16" s="93">
        <f>F11+F15</f>
        <v>34334</v>
      </c>
    </row>
    <row r="17" spans="1:6" ht="15.95" customHeight="1" x14ac:dyDescent="0.2">
      <c r="A17" s="82"/>
      <c r="B17" s="83"/>
      <c r="C17" s="82"/>
      <c r="D17" s="88"/>
      <c r="E17" s="82"/>
      <c r="F17" s="88"/>
    </row>
  </sheetData>
  <mergeCells count="7">
    <mergeCell ref="B12:F12"/>
    <mergeCell ref="A1:F1"/>
    <mergeCell ref="A2:F2"/>
    <mergeCell ref="A4:F4"/>
    <mergeCell ref="C5:D5"/>
    <mergeCell ref="A6:C6"/>
    <mergeCell ref="B9:F9"/>
  </mergeCells>
  <printOptions horizontalCentered="1"/>
  <pageMargins left="1.2" right="0.7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H14" sqref="H14"/>
    </sheetView>
  </sheetViews>
  <sheetFormatPr defaultRowHeight="15.95" customHeight="1" x14ac:dyDescent="0.2"/>
  <cols>
    <col min="1" max="1" width="6" style="69" customWidth="1"/>
    <col min="2" max="2" width="25.28515625" style="69" customWidth="1"/>
    <col min="3" max="3" width="13" style="70" customWidth="1"/>
    <col min="4" max="4" width="14.5703125" style="69" customWidth="1"/>
    <col min="5" max="5" width="12.7109375" style="69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68"/>
      <c r="D3" s="80"/>
      <c r="E3" s="80"/>
      <c r="F3" s="80"/>
      <c r="G3" s="82"/>
    </row>
    <row r="4" spans="1:7" ht="15.95" customHeight="1" x14ac:dyDescent="0.2">
      <c r="A4" s="306" t="s">
        <v>111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89"/>
      <c r="F5" s="89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125"/>
      <c r="F6" s="83"/>
      <c r="G6" s="82"/>
    </row>
    <row r="7" spans="1:7" ht="15.95" customHeight="1" x14ac:dyDescent="0.2">
      <c r="A7" s="82"/>
      <c r="B7" s="73"/>
      <c r="C7" s="156"/>
      <c r="D7" s="83"/>
      <c r="E7" s="82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4" t="s">
        <v>77</v>
      </c>
      <c r="D8" s="74" t="s">
        <v>87</v>
      </c>
      <c r="E8" s="75" t="s">
        <v>78</v>
      </c>
      <c r="F8" s="74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96" t="str">
        <f>SalarySheet!C10</f>
        <v>Md. Rokibuzzaman</v>
      </c>
      <c r="C10" s="74" t="str">
        <f>SalarySheet!D10</f>
        <v>SPO</v>
      </c>
      <c r="D10" s="208">
        <f>SalarySheet!G10</f>
        <v>45330</v>
      </c>
      <c r="E10" s="85">
        <v>0.1</v>
      </c>
      <c r="F10" s="76">
        <f>ROUND(D10*E10,0)</f>
        <v>4533</v>
      </c>
      <c r="G10" s="70"/>
    </row>
    <row r="11" spans="1:7" s="72" customFormat="1" ht="15.95" customHeight="1" x14ac:dyDescent="0.2">
      <c r="A11" s="74">
        <v>2</v>
      </c>
      <c r="B11" s="75" t="str">
        <f>SalarySheet!C12</f>
        <v>Md. Hassan-Uz-Zaman</v>
      </c>
      <c r="C11" s="74" t="str">
        <f>SalarySheet!D12</f>
        <v>SO</v>
      </c>
      <c r="D11" s="92">
        <f>SalarySheet!E12</f>
        <v>25480</v>
      </c>
      <c r="E11" s="85">
        <v>0.1</v>
      </c>
      <c r="F11" s="76">
        <f>ROUND(D11*E11,0)</f>
        <v>2548</v>
      </c>
      <c r="G11" s="69"/>
    </row>
    <row r="12" spans="1:7" s="72" customFormat="1" ht="15.95" customHeight="1" x14ac:dyDescent="0.2">
      <c r="A12" s="74">
        <v>3</v>
      </c>
      <c r="B12" s="75" t="str">
        <f>SalarySheet!C13</f>
        <v>Mr.Rajat Biswas</v>
      </c>
      <c r="C12" s="74" t="str">
        <f>SalarySheet!D13</f>
        <v>SO</v>
      </c>
      <c r="D12" s="92">
        <f>SalarySheet!E13</f>
        <v>25480</v>
      </c>
      <c r="E12" s="85">
        <v>0.1</v>
      </c>
      <c r="F12" s="76">
        <f>ROUND(D12*E12,0)</f>
        <v>2548</v>
      </c>
      <c r="G12" s="69"/>
    </row>
    <row r="13" spans="1:7" s="72" customFormat="1" ht="15.95" customHeight="1" x14ac:dyDescent="0.2">
      <c r="A13" s="74">
        <v>4</v>
      </c>
      <c r="B13" s="75" t="str">
        <f>SalarySheet!C14</f>
        <v>Md.Kamrul Islam</v>
      </c>
      <c r="C13" s="74" t="str">
        <f>SalarySheet!D14</f>
        <v>Off.(cash)</v>
      </c>
      <c r="D13" s="92">
        <f>SalarySheet!G14</f>
        <v>16000</v>
      </c>
      <c r="E13" s="85">
        <v>0.1</v>
      </c>
      <c r="F13" s="76">
        <f>ROUND(D13*E13,0)</f>
        <v>1600</v>
      </c>
      <c r="G13" s="69"/>
    </row>
    <row r="14" spans="1:7" s="72" customFormat="1" ht="15.95" customHeight="1" x14ac:dyDescent="0.2">
      <c r="A14" s="75"/>
      <c r="B14" s="77" t="s">
        <v>83</v>
      </c>
      <c r="C14" s="74"/>
      <c r="D14" s="93">
        <f>SUM(D10:D13)</f>
        <v>112290</v>
      </c>
      <c r="E14" s="97" t="s">
        <v>58</v>
      </c>
      <c r="F14" s="93">
        <f>SUM(F10:F13)</f>
        <v>11229</v>
      </c>
      <c r="G14" s="69"/>
    </row>
    <row r="15" spans="1:7" ht="15.95" customHeight="1" x14ac:dyDescent="0.2">
      <c r="A15" s="82"/>
      <c r="B15" s="83"/>
      <c r="C15" s="157"/>
      <c r="D15" s="88"/>
      <c r="E15" s="82"/>
      <c r="F15" s="88"/>
    </row>
  </sheetData>
  <mergeCells count="6">
    <mergeCell ref="B9:F9"/>
    <mergeCell ref="A1:F1"/>
    <mergeCell ref="A2:F2"/>
    <mergeCell ref="A4:F4"/>
    <mergeCell ref="C5:D5"/>
    <mergeCell ref="A6:C6"/>
  </mergeCells>
  <printOptions horizontalCentered="1"/>
  <pageMargins left="1.2" right="0.7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5"/>
  <sheetViews>
    <sheetView workbookViewId="0">
      <selection activeCell="A13" sqref="A13"/>
    </sheetView>
  </sheetViews>
  <sheetFormatPr defaultRowHeight="15.95" customHeight="1" x14ac:dyDescent="0.2"/>
  <cols>
    <col min="1" max="1" width="6" style="69" customWidth="1"/>
    <col min="2" max="2" width="25.28515625" style="69" customWidth="1"/>
    <col min="3" max="3" width="13" style="69" customWidth="1"/>
    <col min="4" max="4" width="14.5703125" style="69" customWidth="1"/>
    <col min="5" max="5" width="9" style="69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80"/>
      <c r="D3" s="80"/>
      <c r="E3" s="80"/>
      <c r="F3" s="80"/>
      <c r="G3" s="82"/>
    </row>
    <row r="4" spans="1:7" ht="15.95" customHeight="1" x14ac:dyDescent="0.2">
      <c r="A4" s="306" t="s">
        <v>112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158"/>
      <c r="C5" s="306"/>
      <c r="D5" s="306"/>
      <c r="E5" s="158"/>
      <c r="F5" s="158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125"/>
      <c r="F6" s="83"/>
      <c r="G6" s="82"/>
    </row>
    <row r="7" spans="1:7" ht="15.95" customHeight="1" x14ac:dyDescent="0.2">
      <c r="A7" s="82"/>
      <c r="B7" s="159"/>
      <c r="C7" s="90"/>
      <c r="D7" s="83"/>
      <c r="E7" s="82"/>
      <c r="F7" s="82"/>
      <c r="G7" s="82"/>
    </row>
    <row r="8" spans="1:7" ht="46.5" customHeight="1" x14ac:dyDescent="0.2">
      <c r="A8" s="129" t="s">
        <v>81</v>
      </c>
      <c r="B8" s="129" t="s">
        <v>76</v>
      </c>
      <c r="C8" s="129" t="s">
        <v>77</v>
      </c>
      <c r="D8" s="129" t="s">
        <v>87</v>
      </c>
      <c r="E8" s="129" t="s">
        <v>96</v>
      </c>
      <c r="F8" s="129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209" t="str">
        <f>SalarySheet!C10</f>
        <v>Md. Rokibuzzaman</v>
      </c>
      <c r="C10" s="210" t="str">
        <f>SalarySheet!D10</f>
        <v>SPO</v>
      </c>
      <c r="D10" s="217">
        <f>SalarySheet!E10</f>
        <v>45330</v>
      </c>
      <c r="E10" s="211">
        <v>0.1</v>
      </c>
      <c r="F10" s="76">
        <f>SalarySheet!R10</f>
        <v>4533</v>
      </c>
      <c r="G10" s="70"/>
    </row>
    <row r="11" spans="1:7" s="72" customFormat="1" ht="15.95" customHeight="1" x14ac:dyDescent="0.2">
      <c r="A11" s="74">
        <v>2</v>
      </c>
      <c r="B11" s="75" t="str">
        <f>SalarySheet!C12</f>
        <v>Md. Hassan-Uz-Zaman</v>
      </c>
      <c r="C11" s="74" t="str">
        <f>SalarySheet!D12</f>
        <v>SO</v>
      </c>
      <c r="D11" s="92">
        <f>SalarySheet!E12</f>
        <v>25480</v>
      </c>
      <c r="E11" s="86">
        <v>0.1</v>
      </c>
      <c r="F11" s="76">
        <f>SalarySheet!S12</f>
        <v>2548</v>
      </c>
      <c r="G11" s="69"/>
    </row>
    <row r="12" spans="1:7" s="72" customFormat="1" ht="15.95" customHeight="1" x14ac:dyDescent="0.2">
      <c r="A12" s="74">
        <v>3</v>
      </c>
      <c r="B12" s="75" t="str">
        <f>SalarySheet!C13</f>
        <v>Mr.Rajat Biswas</v>
      </c>
      <c r="C12" s="74" t="str">
        <f>SalarySheet!D13</f>
        <v>SO</v>
      </c>
      <c r="D12" s="92">
        <f>SalarySheet!G13</f>
        <v>25480</v>
      </c>
      <c r="E12" s="86">
        <v>0.1</v>
      </c>
      <c r="F12" s="76">
        <f>SalarySheet!S13</f>
        <v>2548</v>
      </c>
      <c r="G12" s="69"/>
    </row>
    <row r="13" spans="1:7" s="72" customFormat="1" ht="15.95" customHeight="1" x14ac:dyDescent="0.2">
      <c r="A13" s="74">
        <v>4</v>
      </c>
      <c r="B13" s="75" t="str">
        <f>SalarySheet!C14</f>
        <v>Md.Kamrul Islam</v>
      </c>
      <c r="C13" s="74" t="str">
        <f>SalarySheet!D14</f>
        <v>Off.(cash)</v>
      </c>
      <c r="D13" s="92">
        <f>SalarySheet!G14</f>
        <v>16000</v>
      </c>
      <c r="E13" s="86">
        <v>0.1</v>
      </c>
      <c r="F13" s="76">
        <f>SalarySheet!R14</f>
        <v>1600</v>
      </c>
      <c r="G13" s="69"/>
    </row>
    <row r="14" spans="1:7" s="72" customFormat="1" ht="15.95" customHeight="1" x14ac:dyDescent="0.2">
      <c r="A14" s="75"/>
      <c r="B14" s="77" t="s">
        <v>83</v>
      </c>
      <c r="C14" s="75"/>
      <c r="D14" s="93">
        <f>SUM(D10:D13)</f>
        <v>112290</v>
      </c>
      <c r="E14" s="97" t="s">
        <v>58</v>
      </c>
      <c r="F14" s="93">
        <f>SUM(F10:F13)</f>
        <v>11229</v>
      </c>
      <c r="G14" s="69"/>
    </row>
    <row r="15" spans="1:7" ht="15.95" customHeight="1" x14ac:dyDescent="0.2">
      <c r="A15" s="82"/>
      <c r="B15" s="83"/>
      <c r="C15" s="82"/>
      <c r="D15" s="88"/>
      <c r="E15" s="82"/>
      <c r="F15" s="88"/>
    </row>
  </sheetData>
  <mergeCells count="6">
    <mergeCell ref="B9:F9"/>
    <mergeCell ref="A1:F1"/>
    <mergeCell ref="A2:F2"/>
    <mergeCell ref="A4:F4"/>
    <mergeCell ref="C5:D5"/>
    <mergeCell ref="A6:C6"/>
  </mergeCells>
  <printOptions horizontalCentered="1"/>
  <pageMargins left="1.2" right="0.7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A14" sqref="A14"/>
    </sheetView>
  </sheetViews>
  <sheetFormatPr defaultRowHeight="12.75" x14ac:dyDescent="0.2"/>
  <cols>
    <col min="1" max="1" width="4.42578125" customWidth="1"/>
    <col min="2" max="2" width="29.42578125" customWidth="1"/>
    <col min="3" max="3" width="11.85546875" customWidth="1"/>
    <col min="4" max="4" width="11" customWidth="1"/>
    <col min="5" max="5" width="7.28515625" customWidth="1"/>
    <col min="6" max="6" width="13.28515625" customWidth="1"/>
  </cols>
  <sheetData>
    <row r="1" spans="1:6" ht="18" x14ac:dyDescent="0.2">
      <c r="A1" s="304" t="s">
        <v>45</v>
      </c>
      <c r="B1" s="304"/>
      <c r="C1" s="304"/>
      <c r="D1" s="304"/>
      <c r="E1" s="304"/>
      <c r="F1" s="304"/>
    </row>
    <row r="2" spans="1:6" ht="15.75" x14ac:dyDescent="0.2">
      <c r="A2" s="305" t="s">
        <v>82</v>
      </c>
      <c r="B2" s="305"/>
      <c r="C2" s="305"/>
      <c r="D2" s="305"/>
      <c r="E2" s="305"/>
      <c r="F2" s="305"/>
    </row>
    <row r="3" spans="1:6" ht="18" x14ac:dyDescent="0.2">
      <c r="A3" s="71"/>
      <c r="B3" s="80"/>
      <c r="C3" s="80"/>
      <c r="D3" s="80"/>
      <c r="E3" s="80"/>
      <c r="F3" s="80"/>
    </row>
    <row r="4" spans="1:6" ht="15" x14ac:dyDescent="0.2">
      <c r="A4" s="306" t="s">
        <v>189</v>
      </c>
      <c r="B4" s="306"/>
      <c r="C4" s="306"/>
      <c r="D4" s="306"/>
      <c r="E4" s="306"/>
      <c r="F4" s="306"/>
    </row>
    <row r="5" spans="1:6" ht="15" x14ac:dyDescent="0.2">
      <c r="A5" s="82"/>
      <c r="B5" s="223"/>
      <c r="C5" s="306"/>
      <c r="D5" s="306"/>
      <c r="E5" s="223"/>
      <c r="F5" s="223"/>
    </row>
    <row r="6" spans="1:6" ht="15.75" x14ac:dyDescent="0.2">
      <c r="A6" s="307" t="s">
        <v>80</v>
      </c>
      <c r="B6" s="307"/>
      <c r="C6" s="307"/>
      <c r="D6" s="124" t="str">
        <f>TEXT(Voucer!E2,"mmmm, yyyy")</f>
        <v>August, 2021</v>
      </c>
      <c r="E6" s="125"/>
      <c r="F6" s="83"/>
    </row>
    <row r="7" spans="1:6" ht="15.75" x14ac:dyDescent="0.2">
      <c r="A7" s="82"/>
      <c r="B7" s="224"/>
      <c r="C7" s="90"/>
      <c r="D7" s="83"/>
      <c r="E7" s="82"/>
      <c r="F7" s="82"/>
    </row>
    <row r="8" spans="1:6" ht="35.25" customHeight="1" x14ac:dyDescent="0.2">
      <c r="A8" s="84" t="s">
        <v>81</v>
      </c>
      <c r="B8" s="75" t="s">
        <v>76</v>
      </c>
      <c r="C8" s="74" t="s">
        <v>77</v>
      </c>
      <c r="D8" s="226" t="s">
        <v>87</v>
      </c>
      <c r="E8" s="84" t="s">
        <v>78</v>
      </c>
      <c r="F8" s="74" t="s">
        <v>62</v>
      </c>
    </row>
    <row r="9" spans="1:6" ht="15.75" x14ac:dyDescent="0.2">
      <c r="A9" s="75"/>
      <c r="B9" s="301" t="s">
        <v>88</v>
      </c>
      <c r="C9" s="302"/>
      <c r="D9" s="302"/>
      <c r="E9" s="302"/>
      <c r="F9" s="303"/>
    </row>
    <row r="10" spans="1:6" ht="15" x14ac:dyDescent="0.2">
      <c r="A10" s="153">
        <v>1</v>
      </c>
      <c r="B10" s="75" t="str">
        <f>SalarySheet!C10</f>
        <v>Md. Rokibuzzaman</v>
      </c>
      <c r="C10" s="75" t="str">
        <f>SalarySheet!D10</f>
        <v>SPO</v>
      </c>
      <c r="D10" s="92">
        <f>SalarySheet!G10</f>
        <v>45330</v>
      </c>
      <c r="E10" s="87">
        <f>SalarySheet!U10</f>
        <v>10</v>
      </c>
      <c r="F10" s="76">
        <f>ROUND(D10*E10%,0)</f>
        <v>4533</v>
      </c>
    </row>
    <row r="11" spans="1:6" ht="15" x14ac:dyDescent="0.2">
      <c r="A11" s="153">
        <v>2</v>
      </c>
      <c r="B11" s="75" t="str">
        <f>SalarySheet!C12</f>
        <v>Md. Hassan-Uz-Zaman</v>
      </c>
      <c r="C11" s="75" t="str">
        <f>SalarySheet!D12</f>
        <v>SO</v>
      </c>
      <c r="D11" s="92">
        <f>SalarySheet!E12</f>
        <v>25480</v>
      </c>
      <c r="E11" s="87">
        <f>SalarySheet!U12</f>
        <v>10</v>
      </c>
      <c r="F11" s="76">
        <f>ROUND(D11*E11%,0)</f>
        <v>2548</v>
      </c>
    </row>
    <row r="12" spans="1:6" ht="15" x14ac:dyDescent="0.2">
      <c r="A12" s="153">
        <v>3</v>
      </c>
      <c r="B12" s="75" t="str">
        <f>SalarySheet!C13</f>
        <v>Mr.Rajat Biswas</v>
      </c>
      <c r="C12" s="75" t="str">
        <f>SalarySheet!D13</f>
        <v>SO</v>
      </c>
      <c r="D12" s="92">
        <f>SalarySheet!E13</f>
        <v>25480</v>
      </c>
      <c r="E12" s="87">
        <f>SalarySheet!U12</f>
        <v>10</v>
      </c>
      <c r="F12" s="76">
        <f>ROUND(D12*E12%,0)</f>
        <v>2548</v>
      </c>
    </row>
    <row r="13" spans="1:6" ht="15" x14ac:dyDescent="0.2">
      <c r="A13" s="153">
        <v>4</v>
      </c>
      <c r="B13" s="75" t="str">
        <f>SalarySheet!C14</f>
        <v>Md.Kamrul Islam</v>
      </c>
      <c r="C13" s="75" t="str">
        <f>SalarySheet!D14</f>
        <v>Off.(cash)</v>
      </c>
      <c r="D13" s="92">
        <f>SalarySheet!G14</f>
        <v>16000</v>
      </c>
      <c r="E13" s="87">
        <f>SalarySheet!U14</f>
        <v>10</v>
      </c>
      <c r="F13" s="76">
        <f>ROUND(D13*E13%,0)</f>
        <v>1600</v>
      </c>
    </row>
    <row r="14" spans="1:6" ht="15.75" x14ac:dyDescent="0.2">
      <c r="A14" s="74"/>
      <c r="B14" s="77" t="s">
        <v>190</v>
      </c>
      <c r="C14" s="75"/>
      <c r="D14" s="93">
        <f>SUM(D10:D13)</f>
        <v>112290</v>
      </c>
      <c r="E14" s="94"/>
      <c r="F14" s="93">
        <f>SUM(F10:F13)</f>
        <v>11229</v>
      </c>
    </row>
  </sheetData>
  <mergeCells count="6">
    <mergeCell ref="B9:F9"/>
    <mergeCell ref="A1:F1"/>
    <mergeCell ref="A2:F2"/>
    <mergeCell ref="A4:F4"/>
    <mergeCell ref="C5:D5"/>
    <mergeCell ref="A6:C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7"/>
  <sheetViews>
    <sheetView workbookViewId="0">
      <selection activeCell="C16" sqref="C16"/>
    </sheetView>
  </sheetViews>
  <sheetFormatPr defaultRowHeight="15.95" customHeight="1" x14ac:dyDescent="0.2"/>
  <cols>
    <col min="1" max="1" width="6" style="69" customWidth="1"/>
    <col min="2" max="2" width="25.28515625" style="69" customWidth="1"/>
    <col min="3" max="3" width="13" style="69" customWidth="1"/>
    <col min="4" max="4" width="14.5703125" style="69" customWidth="1"/>
    <col min="5" max="5" width="12.7109375" style="69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80"/>
      <c r="D3" s="80"/>
      <c r="E3" s="80"/>
      <c r="F3" s="80"/>
      <c r="G3" s="82"/>
    </row>
    <row r="4" spans="1:7" ht="15.95" customHeight="1" x14ac:dyDescent="0.2">
      <c r="A4" s="306" t="s">
        <v>137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89"/>
      <c r="F5" s="89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125"/>
      <c r="F6" s="83"/>
      <c r="G6" s="82"/>
    </row>
    <row r="7" spans="1:7" ht="15.95" customHeight="1" x14ac:dyDescent="0.2">
      <c r="A7" s="82"/>
      <c r="B7" s="73"/>
      <c r="C7" s="90"/>
      <c r="D7" s="83"/>
      <c r="E7" s="82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4" t="s">
        <v>77</v>
      </c>
      <c r="D8" s="74" t="s">
        <v>87</v>
      </c>
      <c r="E8" s="75" t="s">
        <v>78</v>
      </c>
      <c r="F8" s="74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s="72" customFormat="1" ht="15.95" customHeight="1" x14ac:dyDescent="0.2">
      <c r="A10" s="153">
        <v>1</v>
      </c>
      <c r="B10" s="75" t="str">
        <f>SalarySheet!C11</f>
        <v>Mrs Ashrafunnahar</v>
      </c>
      <c r="C10" s="75" t="str">
        <f>SalarySheet!D11</f>
        <v>PO</v>
      </c>
      <c r="D10" s="92">
        <f>SalarySheet!G11</f>
        <v>43170</v>
      </c>
      <c r="E10" s="87">
        <f>SalarySheet!U11</f>
        <v>20</v>
      </c>
      <c r="F10" s="76">
        <f>ROUND(D10*E10%,0)</f>
        <v>8634</v>
      </c>
      <c r="G10" s="82"/>
    </row>
    <row r="11" spans="1:7" ht="15.95" customHeight="1" x14ac:dyDescent="0.2">
      <c r="A11" s="74"/>
      <c r="B11" s="77" t="s">
        <v>79</v>
      </c>
      <c r="C11" s="75"/>
      <c r="D11" s="93">
        <f>SUM(D10:D10)</f>
        <v>43170</v>
      </c>
      <c r="E11" s="94"/>
      <c r="F11" s="93">
        <f>SUM(F10:F10)</f>
        <v>8634</v>
      </c>
    </row>
    <row r="12" spans="1:7" ht="15.95" customHeight="1" x14ac:dyDescent="0.2">
      <c r="A12" s="75"/>
      <c r="B12" s="301" t="s">
        <v>89</v>
      </c>
      <c r="C12" s="302"/>
      <c r="D12" s="302"/>
      <c r="E12" s="302"/>
      <c r="F12" s="303"/>
    </row>
    <row r="13" spans="1:7" ht="15.95" customHeight="1" x14ac:dyDescent="0.2">
      <c r="A13" s="153">
        <f>SalarySheet!A17</f>
        <v>1</v>
      </c>
      <c r="B13" s="75" t="str">
        <f>SalarySheet!C17</f>
        <v xml:space="preserve">Md. Alamgir </v>
      </c>
      <c r="C13" s="75" t="str">
        <f>SalarySheet!D17</f>
        <v>SS-1</v>
      </c>
      <c r="D13" s="79">
        <f>SalarySheet!G17</f>
        <v>20290</v>
      </c>
      <c r="E13" s="87">
        <f>SalarySheet!U17</f>
        <v>10</v>
      </c>
      <c r="F13" s="76">
        <f>ROUND(D13*E13%,0)</f>
        <v>2029</v>
      </c>
    </row>
    <row r="14" spans="1:7" ht="15.95" customHeight="1" x14ac:dyDescent="0.2">
      <c r="A14" s="153">
        <f>SalarySheet!A18</f>
        <v>2</v>
      </c>
      <c r="B14" s="75" t="str">
        <f>SalarySheet!C18</f>
        <v xml:space="preserve">Md. Khalil </v>
      </c>
      <c r="C14" s="75" t="str">
        <f>SalarySheet!D18</f>
        <v>SS-1</v>
      </c>
      <c r="D14" s="79">
        <f>SalarySheet!G18</f>
        <v>20280</v>
      </c>
      <c r="E14" s="87">
        <f>SalarySheet!U18</f>
        <v>20</v>
      </c>
      <c r="F14" s="76">
        <f>ROUND(D14*E14%,0)</f>
        <v>4056</v>
      </c>
    </row>
    <row r="15" spans="1:7" ht="15.95" customHeight="1" x14ac:dyDescent="0.2">
      <c r="A15" s="75"/>
      <c r="B15" s="77" t="s">
        <v>79</v>
      </c>
      <c r="C15" s="75"/>
      <c r="D15" s="93">
        <f>SUM(D13:D14)</f>
        <v>40570</v>
      </c>
      <c r="E15" s="93">
        <v>0</v>
      </c>
      <c r="F15" s="93">
        <f>SUM(F13:F14)</f>
        <v>6085</v>
      </c>
    </row>
    <row r="16" spans="1:7" ht="15.95" customHeight="1" x14ac:dyDescent="0.2">
      <c r="A16" s="75"/>
      <c r="B16" s="77" t="s">
        <v>83</v>
      </c>
      <c r="C16" s="75"/>
      <c r="D16" s="93">
        <f>SUM(D15+D11)</f>
        <v>83740</v>
      </c>
      <c r="E16" s="97" t="s">
        <v>58</v>
      </c>
      <c r="F16" s="93">
        <f>F11+F15</f>
        <v>14719</v>
      </c>
    </row>
    <row r="17" spans="1:6" ht="15.95" customHeight="1" x14ac:dyDescent="0.2">
      <c r="A17" s="82"/>
      <c r="B17" s="83"/>
      <c r="C17" s="82"/>
      <c r="D17" s="88"/>
      <c r="E17" s="82"/>
      <c r="F17" s="88"/>
    </row>
  </sheetData>
  <mergeCells count="7">
    <mergeCell ref="B12:F12"/>
    <mergeCell ref="A1:F1"/>
    <mergeCell ref="A2:F2"/>
    <mergeCell ref="A4:F4"/>
    <mergeCell ref="C5:D5"/>
    <mergeCell ref="A6:C6"/>
    <mergeCell ref="B9:F9"/>
  </mergeCells>
  <printOptions horizontalCentered="1"/>
  <pageMargins left="1.2" right="0.7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8"/>
  <sheetViews>
    <sheetView workbookViewId="0">
      <selection activeCell="A12" sqref="A12"/>
    </sheetView>
  </sheetViews>
  <sheetFormatPr defaultRowHeight="15.95" customHeight="1" x14ac:dyDescent="0.2"/>
  <cols>
    <col min="1" max="1" width="6" style="69" customWidth="1"/>
    <col min="2" max="2" width="28.85546875" style="69" customWidth="1"/>
    <col min="3" max="3" width="13" style="70" customWidth="1"/>
    <col min="4" max="4" width="16.5703125" style="70" customWidth="1"/>
    <col min="5" max="5" width="11.85546875" style="69" customWidth="1"/>
    <col min="6" max="6" width="9.140625" style="69"/>
    <col min="7" max="7" width="7.28515625" style="69" customWidth="1"/>
    <col min="8" max="8" width="15.28515625" style="69" customWidth="1"/>
    <col min="9" max="9" width="11.42578125" style="69" customWidth="1"/>
    <col min="10" max="16384" width="9.140625" style="69"/>
  </cols>
  <sheetData>
    <row r="1" spans="1:6" ht="15.95" customHeight="1" x14ac:dyDescent="0.2">
      <c r="A1" s="304" t="s">
        <v>45</v>
      </c>
      <c r="B1" s="304"/>
      <c r="C1" s="304"/>
      <c r="D1" s="304"/>
      <c r="E1" s="304"/>
    </row>
    <row r="2" spans="1:6" ht="18.75" customHeight="1" x14ac:dyDescent="0.2">
      <c r="A2" s="305" t="s">
        <v>82</v>
      </c>
      <c r="B2" s="305"/>
      <c r="C2" s="305"/>
      <c r="D2" s="305"/>
      <c r="E2" s="305"/>
    </row>
    <row r="3" spans="1:6" ht="15.95" customHeight="1" x14ac:dyDescent="0.2">
      <c r="A3" s="71"/>
      <c r="B3" s="80"/>
      <c r="C3" s="68"/>
      <c r="D3" s="68"/>
      <c r="E3" s="80"/>
      <c r="F3" s="82"/>
    </row>
    <row r="4" spans="1:6" ht="15.95" customHeight="1" x14ac:dyDescent="0.2">
      <c r="A4" s="306" t="s">
        <v>133</v>
      </c>
      <c r="B4" s="306"/>
      <c r="C4" s="306"/>
      <c r="D4" s="306"/>
      <c r="E4" s="306"/>
      <c r="F4" s="82"/>
    </row>
    <row r="5" spans="1:6" ht="15.95" customHeight="1" x14ac:dyDescent="0.2">
      <c r="A5" s="82"/>
      <c r="B5" s="89"/>
      <c r="C5" s="306"/>
      <c r="D5" s="306"/>
      <c r="E5" s="89"/>
      <c r="F5" s="82"/>
    </row>
    <row r="6" spans="1:6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83"/>
      <c r="F6" s="82"/>
    </row>
    <row r="7" spans="1:6" ht="15.95" customHeight="1" x14ac:dyDescent="0.2">
      <c r="A7" s="82"/>
      <c r="B7" s="73"/>
      <c r="C7" s="156"/>
      <c r="D7" s="95"/>
      <c r="E7" s="82"/>
      <c r="F7" s="82"/>
    </row>
    <row r="8" spans="1:6" ht="15.95" customHeight="1" x14ac:dyDescent="0.2">
      <c r="A8" s="84" t="s">
        <v>81</v>
      </c>
      <c r="B8" s="75" t="s">
        <v>76</v>
      </c>
      <c r="C8" s="74" t="s">
        <v>77</v>
      </c>
      <c r="D8" s="74" t="s">
        <v>110</v>
      </c>
      <c r="E8" s="74" t="s">
        <v>62</v>
      </c>
      <c r="F8" s="74" t="s">
        <v>47</v>
      </c>
    </row>
    <row r="9" spans="1:6" ht="15.75" customHeight="1" x14ac:dyDescent="0.2">
      <c r="A9" s="75"/>
      <c r="B9" s="301" t="s">
        <v>88</v>
      </c>
      <c r="C9" s="302"/>
      <c r="D9" s="302"/>
      <c r="E9" s="302"/>
      <c r="F9" s="303"/>
    </row>
    <row r="10" spans="1:6" ht="15.75" customHeight="1" x14ac:dyDescent="0.2">
      <c r="A10" s="74">
        <v>1</v>
      </c>
      <c r="B10" s="209" t="s">
        <v>194</v>
      </c>
      <c r="C10" s="74" t="str">
        <f>SalarySheet!D10</f>
        <v>SPO</v>
      </c>
      <c r="D10" s="121">
        <v>630000030</v>
      </c>
      <c r="E10" s="76">
        <f>SalarySheet!K10</f>
        <v>15866</v>
      </c>
      <c r="F10" s="227"/>
    </row>
    <row r="11" spans="1:6" s="72" customFormat="1" ht="15.95" customHeight="1" x14ac:dyDescent="0.2">
      <c r="A11" s="74">
        <v>2</v>
      </c>
      <c r="B11" s="75" t="str">
        <f>SalarySheet!C11</f>
        <v>Mrs Ashrafunnahar</v>
      </c>
      <c r="C11" s="74" t="str">
        <f>SalarySheet!D11</f>
        <v>PO</v>
      </c>
      <c r="D11" s="121">
        <v>630000022</v>
      </c>
      <c r="E11" s="76">
        <f>SalarySheet!Y11</f>
        <v>15110</v>
      </c>
      <c r="F11" s="75"/>
    </row>
    <row r="12" spans="1:6" ht="15.95" customHeight="1" x14ac:dyDescent="0.2">
      <c r="A12" s="105"/>
      <c r="B12" s="106" t="s">
        <v>79</v>
      </c>
      <c r="C12" s="105"/>
      <c r="D12" s="122"/>
      <c r="E12" s="79">
        <f>SUM(E10:E11)</f>
        <v>30976</v>
      </c>
      <c r="F12" s="107"/>
    </row>
    <row r="13" spans="1:6" ht="15.95" customHeight="1" x14ac:dyDescent="0.2">
      <c r="A13" s="75"/>
      <c r="B13" s="301" t="s">
        <v>89</v>
      </c>
      <c r="C13" s="302"/>
      <c r="D13" s="302"/>
      <c r="E13" s="302"/>
      <c r="F13" s="303"/>
    </row>
    <row r="14" spans="1:6" ht="15.95" customHeight="1" x14ac:dyDescent="0.2">
      <c r="A14" s="74">
        <v>1</v>
      </c>
      <c r="B14" s="75" t="str">
        <f>SalarySheet!C17</f>
        <v xml:space="preserve">Md. Alamgir </v>
      </c>
      <c r="C14" s="74" t="str">
        <f>SalarySheet!D17</f>
        <v>SS-1</v>
      </c>
      <c r="D14" s="123">
        <v>630000024</v>
      </c>
      <c r="E14" s="76">
        <f>SalarySheet!Y17</f>
        <v>8116</v>
      </c>
      <c r="F14" s="75"/>
    </row>
    <row r="15" spans="1:6" ht="15.95" customHeight="1" x14ac:dyDescent="0.2">
      <c r="A15" s="74">
        <v>2</v>
      </c>
      <c r="B15" s="75" t="str">
        <f>SalarySheet!C18</f>
        <v xml:space="preserve">Md. Khalil </v>
      </c>
      <c r="C15" s="74" t="str">
        <f>SalarySheet!D18</f>
        <v>SS-1</v>
      </c>
      <c r="D15" s="123">
        <v>630000023</v>
      </c>
      <c r="E15" s="76">
        <f>SalarySheet!Y18</f>
        <v>8112</v>
      </c>
      <c r="F15" s="75"/>
    </row>
    <row r="16" spans="1:6" ht="15.95" customHeight="1" x14ac:dyDescent="0.2">
      <c r="A16" s="107"/>
      <c r="B16" s="106" t="s">
        <v>79</v>
      </c>
      <c r="C16" s="105"/>
      <c r="D16" s="108"/>
      <c r="E16" s="110">
        <f>SUM(E14:E15)</f>
        <v>16228</v>
      </c>
      <c r="F16" s="107"/>
    </row>
    <row r="17" spans="1:6" ht="15.95" customHeight="1" x14ac:dyDescent="0.2">
      <c r="A17" s="75"/>
      <c r="B17" s="77" t="s">
        <v>83</v>
      </c>
      <c r="C17" s="74"/>
      <c r="D17" s="103"/>
      <c r="E17" s="93">
        <f>E12+E16</f>
        <v>47204</v>
      </c>
      <c r="F17" s="75"/>
    </row>
    <row r="18" spans="1:6" ht="15.95" customHeight="1" x14ac:dyDescent="0.2">
      <c r="A18" s="82"/>
      <c r="B18" s="83"/>
      <c r="C18" s="157"/>
      <c r="D18" s="104"/>
      <c r="E18" s="88"/>
    </row>
  </sheetData>
  <mergeCells count="7">
    <mergeCell ref="B13:F13"/>
    <mergeCell ref="B9:F9"/>
    <mergeCell ref="A1:E1"/>
    <mergeCell ref="A2:E2"/>
    <mergeCell ref="A4:E4"/>
    <mergeCell ref="C5:D5"/>
    <mergeCell ref="A6:C6"/>
  </mergeCells>
  <printOptions horizontalCentered="1"/>
  <pageMargins left="1.2" right="0.7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9"/>
  <sheetViews>
    <sheetView workbookViewId="0">
      <selection activeCell="A17" sqref="A17"/>
    </sheetView>
  </sheetViews>
  <sheetFormatPr defaultRowHeight="15.95" customHeight="1" x14ac:dyDescent="0.2"/>
  <cols>
    <col min="1" max="1" width="6" style="69" customWidth="1"/>
    <col min="2" max="2" width="25.7109375" style="69" customWidth="1"/>
    <col min="3" max="4" width="13.85546875" style="69" customWidth="1"/>
    <col min="5" max="5" width="12.7109375" style="116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80"/>
      <c r="D3" s="80"/>
      <c r="E3" s="111"/>
      <c r="F3" s="80"/>
      <c r="G3" s="82"/>
    </row>
    <row r="4" spans="1:7" ht="15.95" customHeight="1" x14ac:dyDescent="0.2">
      <c r="A4" s="306" t="s">
        <v>134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112"/>
      <c r="F5" s="89"/>
      <c r="G5" s="82"/>
    </row>
    <row r="6" spans="1:7" ht="15.95" customHeight="1" x14ac:dyDescent="0.2">
      <c r="A6" s="308" t="s">
        <v>80</v>
      </c>
      <c r="B6" s="308"/>
      <c r="C6" s="308"/>
      <c r="D6" s="124" t="str">
        <f>TEXT(Voucer!E2,"mmmm, yyyy")</f>
        <v>August, 2021</v>
      </c>
      <c r="E6" s="113"/>
      <c r="F6" s="83"/>
      <c r="G6" s="82"/>
    </row>
    <row r="7" spans="1:7" ht="15.95" customHeight="1" x14ac:dyDescent="0.2">
      <c r="A7" s="82"/>
      <c r="B7" s="73"/>
      <c r="C7" s="90"/>
      <c r="D7" s="83"/>
      <c r="E7" s="114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5" t="s">
        <v>77</v>
      </c>
      <c r="D8" s="74" t="s">
        <v>110</v>
      </c>
      <c r="E8" s="115" t="s">
        <v>62</v>
      </c>
      <c r="F8" s="74" t="s">
        <v>47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209" t="str">
        <f>SalarySheet!C10</f>
        <v>Md. Rokibuzzaman</v>
      </c>
      <c r="C10" s="96" t="str">
        <f>SalarySheet!D10</f>
        <v>SPO</v>
      </c>
      <c r="D10" s="74">
        <v>640000035</v>
      </c>
      <c r="E10" s="213">
        <f>SalarySheet!Z10</f>
        <v>3025</v>
      </c>
      <c r="F10" s="207"/>
      <c r="G10" s="70"/>
    </row>
    <row r="11" spans="1:7" ht="15.95" customHeight="1" x14ac:dyDescent="0.2">
      <c r="A11" s="74">
        <v>2</v>
      </c>
      <c r="B11" s="241" t="str">
        <f>SalarySheet!C13</f>
        <v>Mr.Rajat Biswas</v>
      </c>
      <c r="C11" s="75" t="str">
        <f>SalarySheet!D13</f>
        <v>SO</v>
      </c>
      <c r="D11" s="121">
        <v>640000037</v>
      </c>
      <c r="E11" s="212">
        <f>SalarySheet!Z10</f>
        <v>3025</v>
      </c>
      <c r="F11" s="235"/>
      <c r="G11" s="70"/>
    </row>
    <row r="12" spans="1:7" s="72" customFormat="1" ht="15.95" customHeight="1" x14ac:dyDescent="0.2">
      <c r="A12" s="74">
        <v>3</v>
      </c>
      <c r="B12" s="209" t="str">
        <f>SalarySheet!C11</f>
        <v>Mrs Ashrafunnahar</v>
      </c>
      <c r="C12" s="75" t="str">
        <f>SalarySheet!D11</f>
        <v>PO</v>
      </c>
      <c r="D12" s="121">
        <v>640000020</v>
      </c>
      <c r="E12" s="212">
        <f>SalarySheet!Z11</f>
        <v>3025</v>
      </c>
      <c r="F12" s="76"/>
      <c r="G12" s="82"/>
    </row>
    <row r="13" spans="1:7" ht="15.95" customHeight="1" x14ac:dyDescent="0.2">
      <c r="A13" s="74"/>
      <c r="B13" s="106" t="s">
        <v>79</v>
      </c>
      <c r="C13" s="107"/>
      <c r="D13" s="109"/>
      <c r="E13" s="119">
        <f>SUM(E10:E12)</f>
        <v>9075</v>
      </c>
      <c r="F13" s="93"/>
    </row>
    <row r="14" spans="1:7" ht="15.95" customHeight="1" x14ac:dyDescent="0.2">
      <c r="A14" s="75"/>
      <c r="B14" s="301" t="s">
        <v>89</v>
      </c>
      <c r="C14" s="302"/>
      <c r="D14" s="302"/>
      <c r="E14" s="302"/>
      <c r="F14" s="303"/>
    </row>
    <row r="15" spans="1:7" ht="15.95" customHeight="1" x14ac:dyDescent="0.2">
      <c r="A15" s="74">
        <v>1</v>
      </c>
      <c r="B15" s="75" t="str">
        <f>SalarySheet!C17</f>
        <v xml:space="preserve">Md. Alamgir </v>
      </c>
      <c r="C15" s="75" t="str">
        <f>SalarySheet!D17</f>
        <v>SS-1</v>
      </c>
      <c r="D15" s="81">
        <v>640000026</v>
      </c>
      <c r="E15" s="117">
        <f>SalarySheet!Z17</f>
        <v>3025</v>
      </c>
      <c r="F15" s="76"/>
    </row>
    <row r="16" spans="1:7" ht="15.95" customHeight="1" x14ac:dyDescent="0.2">
      <c r="A16" s="74">
        <v>2</v>
      </c>
      <c r="B16" s="75" t="str">
        <f>SalarySheet!C18</f>
        <v xml:space="preserve">Md. Khalil </v>
      </c>
      <c r="C16" s="75" t="str">
        <f>SalarySheet!D18</f>
        <v>SS-1</v>
      </c>
      <c r="D16" s="81">
        <v>640000025</v>
      </c>
      <c r="E16" s="117">
        <f>SalarySheet!Z18</f>
        <v>3025</v>
      </c>
      <c r="F16" s="76"/>
    </row>
    <row r="17" spans="1:6" ht="15.95" customHeight="1" x14ac:dyDescent="0.2">
      <c r="A17" s="75"/>
      <c r="B17" s="106" t="s">
        <v>79</v>
      </c>
      <c r="C17" s="107"/>
      <c r="D17" s="109"/>
      <c r="E17" s="120">
        <f>SUM(E15:E16)</f>
        <v>6050</v>
      </c>
      <c r="F17" s="78"/>
    </row>
    <row r="18" spans="1:6" ht="15.95" customHeight="1" x14ac:dyDescent="0.2">
      <c r="A18" s="75"/>
      <c r="B18" s="77" t="s">
        <v>83</v>
      </c>
      <c r="C18" s="75"/>
      <c r="D18" s="93"/>
      <c r="E18" s="118">
        <f>E13+E17</f>
        <v>15125</v>
      </c>
      <c r="F18" s="93"/>
    </row>
    <row r="19" spans="1:6" ht="15.95" customHeight="1" x14ac:dyDescent="0.2">
      <c r="A19" s="82"/>
      <c r="B19" s="83"/>
      <c r="C19" s="82"/>
      <c r="D19" s="88"/>
      <c r="E19" s="114"/>
      <c r="F19" s="88"/>
    </row>
  </sheetData>
  <mergeCells count="7">
    <mergeCell ref="B14:F14"/>
    <mergeCell ref="A1:F1"/>
    <mergeCell ref="A2:F2"/>
    <mergeCell ref="A4:F4"/>
    <mergeCell ref="C5:D5"/>
    <mergeCell ref="A6:C6"/>
    <mergeCell ref="B9:F9"/>
  </mergeCells>
  <printOptions horizontalCentered="1"/>
  <pageMargins left="1.2" right="0.7" top="1" bottom="1" header="0.5" footer="0.5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4"/>
  <sheetViews>
    <sheetView workbookViewId="0">
      <selection activeCell="D12" sqref="D12"/>
    </sheetView>
  </sheetViews>
  <sheetFormatPr defaultRowHeight="15.95" customHeight="1" x14ac:dyDescent="0.2"/>
  <cols>
    <col min="1" max="1" width="6" style="69" customWidth="1"/>
    <col min="2" max="2" width="25.7109375" style="69" customWidth="1"/>
    <col min="3" max="4" width="13.85546875" style="69" customWidth="1"/>
    <col min="5" max="5" width="12.7109375" style="116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80"/>
      <c r="D3" s="80"/>
      <c r="E3" s="111"/>
      <c r="F3" s="80"/>
      <c r="G3" s="82"/>
    </row>
    <row r="4" spans="1:7" ht="15.95" customHeight="1" x14ac:dyDescent="0.2">
      <c r="A4" s="306" t="s">
        <v>175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198"/>
      <c r="C5" s="306"/>
      <c r="D5" s="306"/>
      <c r="E5" s="112"/>
      <c r="F5" s="198"/>
      <c r="G5" s="82"/>
    </row>
    <row r="6" spans="1:7" ht="15.95" customHeight="1" x14ac:dyDescent="0.2">
      <c r="A6" s="309" t="s">
        <v>80</v>
      </c>
      <c r="B6" s="309"/>
      <c r="C6" s="309"/>
      <c r="D6" s="124" t="str">
        <f>TEXT(Voucer!E2,"mmmm, yyyy")</f>
        <v>August, 2021</v>
      </c>
      <c r="E6" s="113"/>
      <c r="F6" s="83"/>
      <c r="G6" s="82"/>
    </row>
    <row r="7" spans="1:7" ht="15.95" customHeight="1" x14ac:dyDescent="0.2">
      <c r="A7" s="82"/>
      <c r="B7" s="199"/>
      <c r="C7" s="200"/>
      <c r="D7" s="83"/>
      <c r="E7" s="114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5" t="s">
        <v>77</v>
      </c>
      <c r="D8" s="74" t="s">
        <v>91</v>
      </c>
      <c r="E8" s="115" t="s">
        <v>62</v>
      </c>
      <c r="F8" s="74" t="s">
        <v>47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209" t="str">
        <f>SalarySheet!C10</f>
        <v>Md. Rokibuzzaman</v>
      </c>
      <c r="C10" s="209" t="str">
        <f>SalarySheet!D10</f>
        <v>SPO</v>
      </c>
      <c r="D10" s="74">
        <v>720000008</v>
      </c>
      <c r="E10" s="213">
        <f>SalarySheet!AA10</f>
        <v>1130</v>
      </c>
      <c r="F10" s="214"/>
      <c r="G10" s="70"/>
    </row>
    <row r="11" spans="1:7" ht="15.95" customHeight="1" x14ac:dyDescent="0.2">
      <c r="A11" s="74">
        <v>2</v>
      </c>
      <c r="B11" s="75" t="str">
        <f>SalarySheet!C11</f>
        <v>Mrs Ashrafunnahar</v>
      </c>
      <c r="C11" s="75" t="str">
        <f>SalarySheet!D11</f>
        <v>PO</v>
      </c>
      <c r="D11" s="121">
        <v>720000002</v>
      </c>
      <c r="E11" s="213">
        <f>SalarySheet!AA11</f>
        <v>1130</v>
      </c>
      <c r="F11" s="76"/>
      <c r="G11" s="82"/>
    </row>
    <row r="12" spans="1:7" s="72" customFormat="1" ht="15.95" customHeight="1" x14ac:dyDescent="0.2">
      <c r="A12" s="74">
        <v>3</v>
      </c>
      <c r="B12" s="75" t="str">
        <f>SalarySheet!C13</f>
        <v>Mr.Rajat Biswas</v>
      </c>
      <c r="C12" s="75" t="str">
        <f>SalarySheet!D13</f>
        <v>SO</v>
      </c>
      <c r="D12" s="121">
        <v>720000010</v>
      </c>
      <c r="E12" s="213">
        <f>SalarySheet!AA13</f>
        <v>1600</v>
      </c>
      <c r="F12" s="76"/>
      <c r="G12" s="82"/>
    </row>
    <row r="13" spans="1:7" ht="15.95" customHeight="1" x14ac:dyDescent="0.2">
      <c r="A13" s="74"/>
      <c r="B13" s="77" t="s">
        <v>83</v>
      </c>
      <c r="C13" s="107"/>
      <c r="D13" s="109"/>
      <c r="E13" s="119">
        <f>SUM(E10:E12)</f>
        <v>3860</v>
      </c>
      <c r="F13" s="93"/>
    </row>
    <row r="14" spans="1:7" ht="15.95" customHeight="1" x14ac:dyDescent="0.2">
      <c r="A14" s="82"/>
      <c r="B14" s="83"/>
      <c r="C14" s="82"/>
      <c r="D14" s="88"/>
      <c r="E14" s="114"/>
      <c r="F14" s="88"/>
    </row>
  </sheetData>
  <mergeCells count="6">
    <mergeCell ref="B9:F9"/>
    <mergeCell ref="A1:F1"/>
    <mergeCell ref="A2:F2"/>
    <mergeCell ref="A4:F4"/>
    <mergeCell ref="C5:D5"/>
    <mergeCell ref="A6:C6"/>
  </mergeCells>
  <printOptions horizontalCentered="1"/>
  <pageMargins left="1.2" right="0.7" top="1" bottom="1" header="0.5" footer="0.5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"/>
  <sheetViews>
    <sheetView topLeftCell="A4" workbookViewId="0">
      <selection activeCell="A19" sqref="A19"/>
    </sheetView>
  </sheetViews>
  <sheetFormatPr defaultRowHeight="15.95" customHeight="1" x14ac:dyDescent="0.2"/>
  <cols>
    <col min="1" max="1" width="6" style="69" customWidth="1"/>
    <col min="2" max="2" width="25.85546875" style="69" customWidth="1"/>
    <col min="3" max="3" width="13" style="70" customWidth="1"/>
    <col min="4" max="4" width="15.140625" style="69" customWidth="1"/>
    <col min="5" max="5" width="11.5703125" style="69" customWidth="1"/>
    <col min="6" max="6" width="13.5703125" style="69" customWidth="1"/>
    <col min="7" max="7" width="9.140625" style="69"/>
    <col min="8" max="8" width="7.28515625" style="69" customWidth="1"/>
    <col min="9" max="9" width="13.57031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68"/>
      <c r="D3" s="80"/>
      <c r="E3" s="80"/>
      <c r="F3" s="80"/>
      <c r="G3" s="82"/>
    </row>
    <row r="4" spans="1:7" ht="15.95" customHeight="1" x14ac:dyDescent="0.2">
      <c r="A4" s="306" t="s">
        <v>92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89"/>
      <c r="F5" s="89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83"/>
      <c r="F6" s="83"/>
      <c r="G6" s="82"/>
    </row>
    <row r="7" spans="1:7" ht="15.95" customHeight="1" x14ac:dyDescent="0.2">
      <c r="A7" s="82"/>
      <c r="B7" s="73"/>
      <c r="C7" s="156"/>
      <c r="D7" s="83"/>
      <c r="E7" s="82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4" t="s">
        <v>77</v>
      </c>
      <c r="D8" s="74" t="s">
        <v>87</v>
      </c>
      <c r="E8" s="75" t="s">
        <v>78</v>
      </c>
      <c r="F8" s="74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75" t="str">
        <f>SalarySheet!C10</f>
        <v>Md. Rokibuzzaman</v>
      </c>
      <c r="C10" s="74" t="str">
        <f>SalarySheet!D10</f>
        <v>SPO</v>
      </c>
      <c r="D10" s="92">
        <f>SalarySheet!G10</f>
        <v>45330</v>
      </c>
      <c r="E10" s="86"/>
      <c r="F10" s="76">
        <f>SalarySheet!AC10</f>
        <v>250</v>
      </c>
      <c r="G10" s="70"/>
    </row>
    <row r="11" spans="1:7" s="72" customFormat="1" ht="15.95" customHeight="1" x14ac:dyDescent="0.2">
      <c r="A11" s="74">
        <v>2</v>
      </c>
      <c r="B11" s="75" t="str">
        <f>SalarySheet!C11</f>
        <v>Mrs Ashrafunnahar</v>
      </c>
      <c r="C11" s="74" t="str">
        <f>SalarySheet!D11</f>
        <v>PO</v>
      </c>
      <c r="D11" s="92">
        <f>SalarySheet!G11</f>
        <v>43170</v>
      </c>
      <c r="E11" s="86"/>
      <c r="F11" s="76">
        <f>SalarySheet!AC11</f>
        <v>250</v>
      </c>
      <c r="G11" s="82"/>
    </row>
    <row r="12" spans="1:7" s="72" customFormat="1" ht="15.95" customHeight="1" x14ac:dyDescent="0.2">
      <c r="A12" s="74">
        <v>3</v>
      </c>
      <c r="B12" s="75" t="str">
        <f>SalarySheet!C12</f>
        <v>Md. Hassan-Uz-Zaman</v>
      </c>
      <c r="C12" s="74" t="str">
        <f>SalarySheet!D12</f>
        <v>SO</v>
      </c>
      <c r="D12" s="92">
        <f>SalarySheet!E12</f>
        <v>25480</v>
      </c>
      <c r="E12" s="86"/>
      <c r="F12" s="76">
        <f>SalarySheet!AC12</f>
        <v>200</v>
      </c>
      <c r="G12" s="69"/>
    </row>
    <row r="13" spans="1:7" s="72" customFormat="1" ht="15.95" customHeight="1" x14ac:dyDescent="0.2">
      <c r="A13" s="74">
        <v>4</v>
      </c>
      <c r="B13" s="75" t="str">
        <f>SalarySheet!C13</f>
        <v>Mr.Rajat Biswas</v>
      </c>
      <c r="C13" s="74" t="str">
        <f>SalarySheet!D13</f>
        <v>SO</v>
      </c>
      <c r="D13" s="92">
        <f>SalarySheet!E13</f>
        <v>25480</v>
      </c>
      <c r="E13" s="86"/>
      <c r="F13" s="76">
        <f>SalarySheet!AC13</f>
        <v>200</v>
      </c>
      <c r="G13" s="69"/>
    </row>
    <row r="14" spans="1:7" s="72" customFormat="1" ht="15.95" customHeight="1" x14ac:dyDescent="0.2">
      <c r="A14" s="74">
        <v>5</v>
      </c>
      <c r="B14" s="75" t="str">
        <f>SalarySheet!C14</f>
        <v>Md.Kamrul Islam</v>
      </c>
      <c r="C14" s="74" t="str">
        <f>SalarySheet!D14</f>
        <v>Off.(cash)</v>
      </c>
      <c r="D14" s="92">
        <f>SalarySheet!G14</f>
        <v>16000</v>
      </c>
      <c r="E14" s="86"/>
      <c r="F14" s="76">
        <f>SalarySheet!AC14</f>
        <v>200</v>
      </c>
      <c r="G14" s="69"/>
    </row>
    <row r="15" spans="1:7" s="72" customFormat="1" ht="15.95" customHeight="1" x14ac:dyDescent="0.2">
      <c r="A15" s="74"/>
      <c r="B15" s="77" t="s">
        <v>79</v>
      </c>
      <c r="C15" s="74"/>
      <c r="D15" s="93">
        <f>SUM(D10:D14)</f>
        <v>155460</v>
      </c>
      <c r="E15" s="94"/>
      <c r="F15" s="93">
        <f>SUM(F10:F14)</f>
        <v>1100</v>
      </c>
      <c r="G15" s="69"/>
    </row>
    <row r="16" spans="1:7" ht="15.95" customHeight="1" x14ac:dyDescent="0.2">
      <c r="A16" s="75"/>
      <c r="B16" s="301" t="s">
        <v>89</v>
      </c>
      <c r="C16" s="302"/>
      <c r="D16" s="302"/>
      <c r="E16" s="302"/>
      <c r="F16" s="303"/>
    </row>
    <row r="17" spans="1:6" ht="15.95" customHeight="1" x14ac:dyDescent="0.2">
      <c r="A17" s="74">
        <v>1</v>
      </c>
      <c r="B17" s="75" t="str">
        <f>SalarySheet!C17</f>
        <v xml:space="preserve">Md. Alamgir </v>
      </c>
      <c r="C17" s="74" t="str">
        <f>SalarySheet!D17</f>
        <v>SS-1</v>
      </c>
      <c r="D17" s="79">
        <f>SalarySheet!G17</f>
        <v>20290</v>
      </c>
      <c r="E17" s="86"/>
      <c r="F17" s="76">
        <f>SalarySheet!AC17</f>
        <v>100</v>
      </c>
    </row>
    <row r="18" spans="1:6" ht="15.95" customHeight="1" x14ac:dyDescent="0.2">
      <c r="A18" s="74">
        <v>2</v>
      </c>
      <c r="B18" s="75" t="str">
        <f>SalarySheet!C18</f>
        <v xml:space="preserve">Md. Khalil </v>
      </c>
      <c r="C18" s="74" t="str">
        <f>SalarySheet!D18</f>
        <v>SS-1</v>
      </c>
      <c r="D18" s="79">
        <f>SalarySheet!G18</f>
        <v>20280</v>
      </c>
      <c r="E18" s="86"/>
      <c r="F18" s="76">
        <f>SalarySheet!AC18</f>
        <v>100</v>
      </c>
    </row>
    <row r="19" spans="1:6" ht="15.95" customHeight="1" x14ac:dyDescent="0.2">
      <c r="A19" s="75"/>
      <c r="B19" s="77" t="s">
        <v>79</v>
      </c>
      <c r="C19" s="74"/>
      <c r="D19" s="93">
        <f>SUM(D17:D18)</f>
        <v>40570</v>
      </c>
      <c r="E19" s="85"/>
      <c r="F19" s="78">
        <f>SUM(F17:F18)</f>
        <v>200</v>
      </c>
    </row>
    <row r="20" spans="1:6" ht="15.95" customHeight="1" x14ac:dyDescent="0.2">
      <c r="A20" s="75"/>
      <c r="B20" s="77" t="s">
        <v>83</v>
      </c>
      <c r="C20" s="74"/>
      <c r="D20" s="93">
        <f>SUM(D19+D15)</f>
        <v>196030</v>
      </c>
      <c r="E20" s="97"/>
      <c r="F20" s="93">
        <f>F15+F19</f>
        <v>1300</v>
      </c>
    </row>
    <row r="21" spans="1:6" ht="15.95" customHeight="1" x14ac:dyDescent="0.2">
      <c r="A21" s="82"/>
      <c r="B21" s="83"/>
      <c r="C21" s="157"/>
      <c r="D21" s="88"/>
      <c r="E21" s="82"/>
      <c r="F21" s="88"/>
    </row>
  </sheetData>
  <mergeCells count="7">
    <mergeCell ref="B16:F16"/>
    <mergeCell ref="A1:F1"/>
    <mergeCell ref="A2:F2"/>
    <mergeCell ref="A4:F4"/>
    <mergeCell ref="C5:D5"/>
    <mergeCell ref="A6:C6"/>
    <mergeCell ref="B9:F9"/>
  </mergeCells>
  <printOptions horizontalCentered="1"/>
  <pageMargins left="1.2" right="0.7" top="1" bottom="1" header="0.5" footer="0.5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6"/>
  <sheetViews>
    <sheetView workbookViewId="0">
      <selection activeCell="A15" sqref="A15"/>
    </sheetView>
  </sheetViews>
  <sheetFormatPr defaultRowHeight="15.95" customHeight="1" x14ac:dyDescent="0.2"/>
  <cols>
    <col min="1" max="1" width="6" style="69" customWidth="1"/>
    <col min="2" max="2" width="29.5703125" style="69" customWidth="1"/>
    <col min="3" max="3" width="16.5703125" style="69" customWidth="1"/>
    <col min="4" max="4" width="17.7109375" style="69" customWidth="1"/>
    <col min="5" max="5" width="9.140625" style="69"/>
    <col min="6" max="6" width="7.28515625" style="69" customWidth="1"/>
    <col min="7" max="7" width="15.28515625" style="69" customWidth="1"/>
    <col min="8" max="8" width="11.42578125" style="69" customWidth="1"/>
    <col min="9" max="16384" width="9.140625" style="69"/>
  </cols>
  <sheetData>
    <row r="1" spans="1:5" ht="15.95" customHeight="1" x14ac:dyDescent="0.2">
      <c r="A1" s="304" t="s">
        <v>45</v>
      </c>
      <c r="B1" s="304"/>
      <c r="C1" s="304"/>
      <c r="D1" s="304"/>
    </row>
    <row r="2" spans="1:5" ht="18.75" customHeight="1" x14ac:dyDescent="0.2">
      <c r="A2" s="305" t="s">
        <v>82</v>
      </c>
      <c r="B2" s="305"/>
      <c r="C2" s="305"/>
      <c r="D2" s="305"/>
    </row>
    <row r="3" spans="1:5" ht="15.95" customHeight="1" x14ac:dyDescent="0.2">
      <c r="A3" s="71"/>
      <c r="B3" s="80"/>
      <c r="C3" s="80"/>
      <c r="D3" s="80"/>
      <c r="E3" s="82"/>
    </row>
    <row r="4" spans="1:5" ht="15.95" customHeight="1" x14ac:dyDescent="0.2">
      <c r="A4" s="306" t="s">
        <v>108</v>
      </c>
      <c r="B4" s="306"/>
      <c r="C4" s="306"/>
      <c r="D4" s="306"/>
      <c r="E4" s="82"/>
    </row>
    <row r="5" spans="1:5" ht="15.95" customHeight="1" x14ac:dyDescent="0.2">
      <c r="A5" s="82"/>
      <c r="B5" s="149"/>
      <c r="C5" s="306"/>
      <c r="D5" s="306"/>
      <c r="E5" s="82"/>
    </row>
    <row r="6" spans="1:5" ht="15.95" customHeight="1" x14ac:dyDescent="0.2">
      <c r="A6" s="307" t="s">
        <v>80</v>
      </c>
      <c r="B6" s="307"/>
      <c r="C6" s="124" t="str">
        <f>TEXT(Voucer!E2,"mmmm, yyyy")</f>
        <v>August, 2021</v>
      </c>
      <c r="E6" s="82"/>
    </row>
    <row r="7" spans="1:5" ht="15.95" customHeight="1" x14ac:dyDescent="0.2">
      <c r="A7" s="82"/>
      <c r="B7" s="150"/>
      <c r="C7" s="90"/>
      <c r="D7" s="83"/>
      <c r="E7" s="82"/>
    </row>
    <row r="8" spans="1:5" ht="15.95" customHeight="1" x14ac:dyDescent="0.2">
      <c r="A8" s="84" t="s">
        <v>81</v>
      </c>
      <c r="B8" s="75" t="s">
        <v>76</v>
      </c>
      <c r="C8" s="74" t="s">
        <v>77</v>
      </c>
      <c r="D8" s="74" t="s">
        <v>109</v>
      </c>
      <c r="E8" s="91"/>
    </row>
    <row r="9" spans="1:5" ht="15.95" customHeight="1" x14ac:dyDescent="0.2">
      <c r="A9" s="75"/>
      <c r="B9" s="301" t="s">
        <v>88</v>
      </c>
      <c r="C9" s="302"/>
      <c r="D9" s="303"/>
      <c r="E9" s="70"/>
    </row>
    <row r="10" spans="1:5" ht="15.95" customHeight="1" x14ac:dyDescent="0.2">
      <c r="A10" s="74">
        <v>1</v>
      </c>
      <c r="B10" s="75" t="str">
        <f>SalarySheet!C10</f>
        <v>Md. Rokibuzzaman</v>
      </c>
      <c r="C10" s="74" t="str">
        <f>SalarySheet!D10</f>
        <v>SPO</v>
      </c>
      <c r="D10" s="228">
        <f>SalarySheet!AF10</f>
        <v>1000</v>
      </c>
      <c r="E10" s="70"/>
    </row>
    <row r="11" spans="1:5" ht="15.95" customHeight="1" x14ac:dyDescent="0.2">
      <c r="A11" s="74">
        <v>2</v>
      </c>
      <c r="B11" s="75" t="str">
        <f>SalarySheet!C11</f>
        <v>Mrs Ashrafunnahar</v>
      </c>
      <c r="C11" s="74" t="str">
        <f>SalarySheet!D11</f>
        <v>PO</v>
      </c>
      <c r="D11" s="228">
        <f>SalarySheet!AF11</f>
        <v>350</v>
      </c>
      <c r="E11" s="70"/>
    </row>
    <row r="12" spans="1:5" ht="15.95" customHeight="1" x14ac:dyDescent="0.2">
      <c r="A12" s="74">
        <v>3</v>
      </c>
      <c r="B12" s="75" t="str">
        <f>SalarySheet!C12</f>
        <v>Md. Hassan-Uz-Zaman</v>
      </c>
      <c r="C12" s="74" t="str">
        <f>SalarySheet!D12</f>
        <v>SO</v>
      </c>
      <c r="D12" s="228">
        <f>SalarySheet!AF12</f>
        <v>250</v>
      </c>
    </row>
    <row r="13" spans="1:5" ht="15.95" customHeight="1" x14ac:dyDescent="0.2">
      <c r="A13" s="74">
        <v>4</v>
      </c>
      <c r="B13" s="75" t="str">
        <f>SalarySheet!C13</f>
        <v>Mr.Rajat Biswas</v>
      </c>
      <c r="C13" s="74" t="str">
        <f>SalarySheet!D13</f>
        <v>SO</v>
      </c>
      <c r="D13" s="228">
        <f>SalarySheet!AF13</f>
        <v>334</v>
      </c>
    </row>
    <row r="14" spans="1:5" ht="15.95" customHeight="1" x14ac:dyDescent="0.2">
      <c r="A14" s="74">
        <v>5</v>
      </c>
      <c r="B14" s="75" t="str">
        <f>SalarySheet!C14</f>
        <v>Md.Kamrul Islam</v>
      </c>
      <c r="C14" s="74" t="str">
        <f>SalarySheet!D14</f>
        <v>Off.(cash)</v>
      </c>
      <c r="D14" s="229">
        <f>SalarySheet!AF14</f>
        <v>0</v>
      </c>
    </row>
    <row r="15" spans="1:5" ht="15.95" customHeight="1" x14ac:dyDescent="0.2">
      <c r="A15" s="75"/>
      <c r="B15" s="77" t="s">
        <v>83</v>
      </c>
      <c r="C15" s="74"/>
      <c r="D15" s="93">
        <f>SUM(D10:D14)</f>
        <v>1934</v>
      </c>
    </row>
    <row r="16" spans="1:5" ht="15.95" customHeight="1" x14ac:dyDescent="0.2">
      <c r="A16" s="82"/>
      <c r="B16" s="83"/>
      <c r="C16" s="82"/>
      <c r="D16" s="88"/>
    </row>
  </sheetData>
  <mergeCells count="6">
    <mergeCell ref="B9:D9"/>
    <mergeCell ref="A6:B6"/>
    <mergeCell ref="A1:D1"/>
    <mergeCell ref="A2:D2"/>
    <mergeCell ref="A4:D4"/>
    <mergeCell ref="C5:D5"/>
  </mergeCells>
  <printOptions horizontalCentered="1"/>
  <pageMargins left="1.2" right="0.7" top="1" bottom="1" header="0.5" footer="0.5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1"/>
  <sheetViews>
    <sheetView topLeftCell="A5" workbookViewId="0">
      <selection activeCell="A19" sqref="A19"/>
    </sheetView>
  </sheetViews>
  <sheetFormatPr defaultRowHeight="15.95" customHeight="1" x14ac:dyDescent="0.2"/>
  <cols>
    <col min="1" max="1" width="6" style="69" customWidth="1"/>
    <col min="2" max="2" width="25.28515625" style="69" customWidth="1"/>
    <col min="3" max="3" width="13.140625" style="70" customWidth="1"/>
    <col min="4" max="4" width="14.5703125" style="69" customWidth="1"/>
    <col min="5" max="5" width="12.7109375" style="69" customWidth="1"/>
    <col min="6" max="6" width="13.5703125" style="69" customWidth="1"/>
    <col min="7" max="7" width="9.140625" style="69"/>
    <col min="8" max="8" width="7.28515625" style="69" customWidth="1"/>
    <col min="9" max="9" width="15.28515625" style="69" customWidth="1"/>
    <col min="10" max="10" width="11.42578125" style="69" customWidth="1"/>
    <col min="11" max="16384" width="9.140625" style="69"/>
  </cols>
  <sheetData>
    <row r="1" spans="1:7" ht="15.95" customHeight="1" x14ac:dyDescent="0.2">
      <c r="A1" s="304" t="s">
        <v>45</v>
      </c>
      <c r="B1" s="304"/>
      <c r="C1" s="304"/>
      <c r="D1" s="304"/>
      <c r="E1" s="304"/>
      <c r="F1" s="304"/>
    </row>
    <row r="2" spans="1:7" ht="18.75" customHeight="1" x14ac:dyDescent="0.2">
      <c r="A2" s="305" t="s">
        <v>82</v>
      </c>
      <c r="B2" s="305"/>
      <c r="C2" s="305"/>
      <c r="D2" s="305"/>
      <c r="E2" s="305"/>
      <c r="F2" s="305"/>
    </row>
    <row r="3" spans="1:7" ht="15.95" customHeight="1" x14ac:dyDescent="0.2">
      <c r="A3" s="71"/>
      <c r="B3" s="80"/>
      <c r="C3" s="68"/>
      <c r="D3" s="80"/>
      <c r="E3" s="80"/>
      <c r="F3" s="80"/>
      <c r="G3" s="82"/>
    </row>
    <row r="4" spans="1:7" ht="15.95" customHeight="1" x14ac:dyDescent="0.2">
      <c r="A4" s="306" t="s">
        <v>93</v>
      </c>
      <c r="B4" s="306"/>
      <c r="C4" s="306"/>
      <c r="D4" s="306"/>
      <c r="E4" s="306"/>
      <c r="F4" s="306"/>
      <c r="G4" s="82"/>
    </row>
    <row r="5" spans="1:7" ht="15.95" customHeight="1" x14ac:dyDescent="0.2">
      <c r="A5" s="82"/>
      <c r="B5" s="89"/>
      <c r="C5" s="306"/>
      <c r="D5" s="306"/>
      <c r="E5" s="89"/>
      <c r="F5" s="89"/>
      <c r="G5" s="82"/>
    </row>
    <row r="6" spans="1:7" ht="15.95" customHeight="1" x14ac:dyDescent="0.2">
      <c r="A6" s="307" t="s">
        <v>80</v>
      </c>
      <c r="B6" s="307"/>
      <c r="C6" s="307"/>
      <c r="D6" s="124" t="str">
        <f>TEXT(Voucer!E2,"mmmm, yyyy")</f>
        <v>August, 2021</v>
      </c>
      <c r="E6" s="83"/>
      <c r="F6" s="83"/>
      <c r="G6" s="82"/>
    </row>
    <row r="7" spans="1:7" ht="15.95" customHeight="1" x14ac:dyDescent="0.2">
      <c r="A7" s="82"/>
      <c r="B7" s="73"/>
      <c r="C7" s="156"/>
      <c r="D7" s="83"/>
      <c r="E7" s="82"/>
      <c r="F7" s="82"/>
      <c r="G7" s="82"/>
    </row>
    <row r="8" spans="1:7" ht="15.95" customHeight="1" x14ac:dyDescent="0.2">
      <c r="A8" s="84" t="s">
        <v>81</v>
      </c>
      <c r="B8" s="75" t="s">
        <v>76</v>
      </c>
      <c r="C8" s="74" t="s">
        <v>77</v>
      </c>
      <c r="D8" s="74" t="s">
        <v>87</v>
      </c>
      <c r="E8" s="75" t="s">
        <v>91</v>
      </c>
      <c r="F8" s="74" t="s">
        <v>62</v>
      </c>
      <c r="G8" s="91"/>
    </row>
    <row r="9" spans="1:7" ht="15.95" customHeight="1" x14ac:dyDescent="0.2">
      <c r="A9" s="75"/>
      <c r="B9" s="301" t="s">
        <v>88</v>
      </c>
      <c r="C9" s="302"/>
      <c r="D9" s="302"/>
      <c r="E9" s="302"/>
      <c r="F9" s="303"/>
      <c r="G9" s="70"/>
    </row>
    <row r="10" spans="1:7" ht="15.95" customHeight="1" x14ac:dyDescent="0.2">
      <c r="A10" s="74">
        <v>1</v>
      </c>
      <c r="B10" s="75" t="str">
        <f>SalarySheet!C10</f>
        <v>Md. Rokibuzzaman</v>
      </c>
      <c r="C10" s="74" t="str">
        <f>SalarySheet!D10</f>
        <v>SPO</v>
      </c>
      <c r="D10" s="92">
        <f>SalarySheet!G10</f>
        <v>45330</v>
      </c>
      <c r="E10" s="87">
        <f>SalarySheet!B10</f>
        <v>582</v>
      </c>
      <c r="F10" s="76">
        <f>SalarySheet!AH10</f>
        <v>41076</v>
      </c>
      <c r="G10" s="70"/>
    </row>
    <row r="11" spans="1:7" s="72" customFormat="1" ht="15.95" customHeight="1" x14ac:dyDescent="0.2">
      <c r="A11" s="74">
        <v>2</v>
      </c>
      <c r="B11" s="75" t="str">
        <f>SalarySheet!C11</f>
        <v>Mrs Ashrafunnahar</v>
      </c>
      <c r="C11" s="74" t="str">
        <f>SalarySheet!D11</f>
        <v>PO</v>
      </c>
      <c r="D11" s="92">
        <f>SalarySheet!G11</f>
        <v>43170</v>
      </c>
      <c r="E11" s="87">
        <f>SalarySheet!B11</f>
        <v>82</v>
      </c>
      <c r="F11" s="76">
        <f>SalarySheet!AH11</f>
        <v>31271</v>
      </c>
      <c r="G11" s="82"/>
    </row>
    <row r="12" spans="1:7" s="72" customFormat="1" ht="15.95" customHeight="1" x14ac:dyDescent="0.2">
      <c r="A12" s="74">
        <v>3</v>
      </c>
      <c r="B12" s="75" t="str">
        <f>SalarySheet!C12</f>
        <v>Md. Hassan-Uz-Zaman</v>
      </c>
      <c r="C12" s="74" t="str">
        <f>SalarySheet!D12</f>
        <v>SO</v>
      </c>
      <c r="D12" s="92">
        <f>SalarySheet!E12</f>
        <v>25480</v>
      </c>
      <c r="E12" s="87">
        <f>SalarySheet!B12</f>
        <v>1321</v>
      </c>
      <c r="F12" s="76">
        <f>SalarySheet!AH12</f>
        <v>34164</v>
      </c>
      <c r="G12" s="69"/>
    </row>
    <row r="13" spans="1:7" s="72" customFormat="1" ht="15.95" customHeight="1" x14ac:dyDescent="0.2">
      <c r="A13" s="74">
        <v>4</v>
      </c>
      <c r="B13" s="75" t="str">
        <f>SalarySheet!C13</f>
        <v>Mr.Rajat Biswas</v>
      </c>
      <c r="C13" s="74" t="str">
        <f>SalarySheet!D13</f>
        <v>SO</v>
      </c>
      <c r="D13" s="92">
        <f>SalarySheet!E13</f>
        <v>25480</v>
      </c>
      <c r="E13" s="87">
        <f>SalarySheet!B13</f>
        <v>1598</v>
      </c>
      <c r="F13" s="76">
        <f>SalarySheet!AH13</f>
        <v>29455</v>
      </c>
      <c r="G13" s="69"/>
    </row>
    <row r="14" spans="1:7" s="72" customFormat="1" ht="15.95" customHeight="1" x14ac:dyDescent="0.2">
      <c r="A14" s="74">
        <v>5</v>
      </c>
      <c r="B14" s="75" t="str">
        <f>SalarySheet!C14</f>
        <v>Md.Kamrul Islam</v>
      </c>
      <c r="C14" s="74" t="str">
        <f>SalarySheet!D14</f>
        <v>Off.(cash)</v>
      </c>
      <c r="D14" s="92">
        <f>SalarySheet!G14</f>
        <v>16000</v>
      </c>
      <c r="E14" s="87">
        <f>SalarySheet!B14</f>
        <v>1600</v>
      </c>
      <c r="F14" s="76">
        <f>SalarySheet!AH14</f>
        <v>22890</v>
      </c>
      <c r="G14" s="69"/>
    </row>
    <row r="15" spans="1:7" ht="15.95" customHeight="1" x14ac:dyDescent="0.2">
      <c r="A15" s="74"/>
      <c r="B15" s="77" t="s">
        <v>79</v>
      </c>
      <c r="C15" s="74"/>
      <c r="D15" s="93">
        <f>SUM(D10:D14)</f>
        <v>155460</v>
      </c>
      <c r="E15" s="97" t="s">
        <v>58</v>
      </c>
      <c r="F15" s="93">
        <f>SUM(F10:F14)</f>
        <v>158856</v>
      </c>
    </row>
    <row r="16" spans="1:7" ht="15.95" customHeight="1" x14ac:dyDescent="0.2">
      <c r="A16" s="75"/>
      <c r="B16" s="301" t="s">
        <v>89</v>
      </c>
      <c r="C16" s="302"/>
      <c r="D16" s="302"/>
      <c r="E16" s="302"/>
      <c r="F16" s="303"/>
    </row>
    <row r="17" spans="1:6" ht="15.95" customHeight="1" x14ac:dyDescent="0.2">
      <c r="A17" s="74">
        <v>1</v>
      </c>
      <c r="B17" s="75" t="str">
        <f>SalarySheet!C17</f>
        <v xml:space="preserve">Md. Alamgir </v>
      </c>
      <c r="C17" s="74" t="str">
        <f>SalarySheet!D17</f>
        <v>SS-1</v>
      </c>
      <c r="D17" s="79">
        <f>SalarySheet!G17</f>
        <v>20290</v>
      </c>
      <c r="E17" s="87">
        <f>SalarySheet!B17</f>
        <v>74</v>
      </c>
      <c r="F17" s="76">
        <f>SalarySheet!AH17</f>
        <v>16706</v>
      </c>
    </row>
    <row r="18" spans="1:6" ht="15.95" customHeight="1" x14ac:dyDescent="0.2">
      <c r="A18" s="74">
        <v>2</v>
      </c>
      <c r="B18" s="75" t="str">
        <f>SalarySheet!C18</f>
        <v xml:space="preserve">Md. Khalil </v>
      </c>
      <c r="C18" s="74" t="str">
        <f>SalarySheet!D18</f>
        <v>SS-1</v>
      </c>
      <c r="D18" s="79">
        <f>SalarySheet!G18</f>
        <v>20280</v>
      </c>
      <c r="E18" s="87">
        <f>SalarySheet!B18</f>
        <v>16</v>
      </c>
      <c r="F18" s="76">
        <f>SalarySheet!AH18</f>
        <v>14689</v>
      </c>
    </row>
    <row r="19" spans="1:6" ht="15.95" customHeight="1" x14ac:dyDescent="0.2">
      <c r="A19" s="75"/>
      <c r="B19" s="77" t="s">
        <v>79</v>
      </c>
      <c r="C19" s="74"/>
      <c r="D19" s="93">
        <f>SUM(D17:D18)</f>
        <v>40570</v>
      </c>
      <c r="E19" s="93">
        <v>0</v>
      </c>
      <c r="F19" s="93">
        <f>SUM(F17:F18)</f>
        <v>31395</v>
      </c>
    </row>
    <row r="20" spans="1:6" ht="15.95" customHeight="1" x14ac:dyDescent="0.2">
      <c r="A20" s="75"/>
      <c r="B20" s="77" t="s">
        <v>83</v>
      </c>
      <c r="C20" s="74"/>
      <c r="D20" s="93">
        <f>SUM(D19+D15)</f>
        <v>196030</v>
      </c>
      <c r="E20" s="97" t="s">
        <v>58</v>
      </c>
      <c r="F20" s="93">
        <f>F15+F19</f>
        <v>190251</v>
      </c>
    </row>
    <row r="21" spans="1:6" ht="15.95" customHeight="1" x14ac:dyDescent="0.2">
      <c r="A21" s="82"/>
      <c r="B21" s="83"/>
      <c r="C21" s="157"/>
      <c r="D21" s="88"/>
      <c r="E21" s="82"/>
      <c r="F21" s="88"/>
    </row>
  </sheetData>
  <mergeCells count="7">
    <mergeCell ref="B16:F16"/>
    <mergeCell ref="A1:F1"/>
    <mergeCell ref="A2:F2"/>
    <mergeCell ref="A4:F4"/>
    <mergeCell ref="C5:D5"/>
    <mergeCell ref="A6:C6"/>
    <mergeCell ref="B9:F9"/>
  </mergeCells>
  <printOptions horizontalCentered="1"/>
  <pageMargins left="1.2" right="0.7" top="1" bottom="1" header="0.5" footer="0.5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selection activeCell="G14" sqref="G14"/>
    </sheetView>
  </sheetViews>
  <sheetFormatPr defaultRowHeight="12.75" x14ac:dyDescent="0.2"/>
  <cols>
    <col min="1" max="1" width="3.42578125" style="3" customWidth="1"/>
    <col min="2" max="2" width="5.5703125" style="3" customWidth="1"/>
    <col min="3" max="3" width="18.28515625" style="2" customWidth="1"/>
    <col min="4" max="4" width="9.140625" style="2" customWidth="1"/>
    <col min="5" max="5" width="9.140625" style="34" customWidth="1"/>
    <col min="6" max="6" width="4.42578125" style="34" customWidth="1"/>
    <col min="7" max="7" width="7.42578125" style="34" customWidth="1"/>
  </cols>
  <sheetData>
    <row r="1" spans="1:30" ht="31.5" customHeight="1" x14ac:dyDescent="0.25">
      <c r="A1" s="311" t="s">
        <v>103</v>
      </c>
      <c r="B1" s="312"/>
      <c r="C1" s="312"/>
      <c r="D1" s="312"/>
      <c r="E1" s="312"/>
      <c r="F1" s="312"/>
      <c r="G1" s="312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</row>
    <row r="2" spans="1:30" x14ac:dyDescent="0.2">
      <c r="A2"/>
      <c r="B2"/>
      <c r="C2"/>
      <c r="D2"/>
      <c r="E2"/>
      <c r="F2"/>
      <c r="G2"/>
    </row>
    <row r="3" spans="1:30" x14ac:dyDescent="0.2">
      <c r="A3" s="313" t="s">
        <v>102</v>
      </c>
      <c r="B3" s="314"/>
      <c r="C3" s="314"/>
      <c r="D3" s="314"/>
      <c r="E3" s="314"/>
      <c r="F3" s="314"/>
      <c r="G3" s="314"/>
    </row>
    <row r="4" spans="1:30" x14ac:dyDescent="0.2">
      <c r="A4"/>
      <c r="B4"/>
      <c r="C4"/>
      <c r="D4"/>
      <c r="E4"/>
      <c r="F4"/>
      <c r="G4"/>
    </row>
    <row r="5" spans="1:30" hidden="1" x14ac:dyDescent="0.2"/>
    <row r="6" spans="1:30" x14ac:dyDescent="0.2">
      <c r="A6" s="315" t="s">
        <v>0</v>
      </c>
      <c r="B6" s="315" t="s">
        <v>59</v>
      </c>
      <c r="C6" s="274" t="s">
        <v>1</v>
      </c>
      <c r="D6" s="274" t="s">
        <v>2</v>
      </c>
      <c r="E6" s="274" t="s">
        <v>3</v>
      </c>
      <c r="F6" s="274" t="s">
        <v>4</v>
      </c>
      <c r="G6" s="274" t="s">
        <v>38</v>
      </c>
    </row>
    <row r="7" spans="1:30" x14ac:dyDescent="0.2">
      <c r="A7" s="315"/>
      <c r="B7" s="315"/>
      <c r="C7" s="274"/>
      <c r="D7" s="274"/>
      <c r="E7" s="274"/>
      <c r="F7" s="274"/>
      <c r="G7" s="274"/>
    </row>
    <row r="8" spans="1:30" x14ac:dyDescent="0.2">
      <c r="A8" s="315"/>
      <c r="B8" s="315"/>
      <c r="C8" s="274"/>
      <c r="D8" s="274"/>
      <c r="E8" s="274"/>
      <c r="F8" s="274"/>
      <c r="G8" s="274"/>
    </row>
    <row r="9" spans="1:30" ht="26.25" customHeight="1" x14ac:dyDescent="0.2">
      <c r="A9" s="315"/>
      <c r="B9" s="315"/>
      <c r="C9" s="274"/>
      <c r="D9" s="274"/>
      <c r="E9" s="274"/>
      <c r="F9" s="274"/>
      <c r="G9" s="274"/>
    </row>
    <row r="10" spans="1:30" x14ac:dyDescent="0.2">
      <c r="A10" s="26">
        <v>1</v>
      </c>
      <c r="B10" s="26">
        <v>2</v>
      </c>
      <c r="C10" s="26">
        <v>3</v>
      </c>
      <c r="D10" s="26">
        <v>4</v>
      </c>
      <c r="E10" s="26">
        <v>5</v>
      </c>
      <c r="F10" s="26">
        <v>6</v>
      </c>
      <c r="G10" s="27">
        <v>7</v>
      </c>
    </row>
    <row r="11" spans="1:30" x14ac:dyDescent="0.2">
      <c r="A11" s="131" t="s">
        <v>100</v>
      </c>
      <c r="B11"/>
      <c r="C11"/>
      <c r="D11"/>
      <c r="E11"/>
      <c r="F11"/>
      <c r="G11"/>
    </row>
    <row r="12" spans="1:30" x14ac:dyDescent="0.2">
      <c r="A12" s="27">
        <v>1</v>
      </c>
      <c r="B12" s="27">
        <v>126</v>
      </c>
      <c r="C12" s="13" t="s">
        <v>20</v>
      </c>
      <c r="D12" s="16" t="s">
        <v>97</v>
      </c>
      <c r="E12" s="22">
        <v>30750</v>
      </c>
      <c r="F12" s="29">
        <v>0</v>
      </c>
      <c r="G12" s="29">
        <f>E12+F12</f>
        <v>30750</v>
      </c>
    </row>
    <row r="13" spans="1:30" x14ac:dyDescent="0.2">
      <c r="A13" s="27">
        <v>2</v>
      </c>
      <c r="B13" s="27">
        <v>646</v>
      </c>
      <c r="C13" s="13" t="s">
        <v>21</v>
      </c>
      <c r="D13" s="16" t="s">
        <v>99</v>
      </c>
      <c r="E13" s="22">
        <v>25850</v>
      </c>
      <c r="F13" s="29">
        <v>0</v>
      </c>
      <c r="G13" s="29">
        <f t="shared" ref="G13:G21" si="0">E13+F13</f>
        <v>25850</v>
      </c>
    </row>
    <row r="14" spans="1:30" x14ac:dyDescent="0.2">
      <c r="A14" s="27">
        <v>3</v>
      </c>
      <c r="B14" s="27">
        <v>659</v>
      </c>
      <c r="C14" s="13" t="s">
        <v>23</v>
      </c>
      <c r="D14" s="16" t="s">
        <v>22</v>
      </c>
      <c r="E14" s="22">
        <v>19300</v>
      </c>
      <c r="F14" s="29">
        <v>0</v>
      </c>
      <c r="G14" s="29">
        <f t="shared" si="0"/>
        <v>19300</v>
      </c>
    </row>
    <row r="15" spans="1:30" x14ac:dyDescent="0.2">
      <c r="A15" s="27">
        <v>4</v>
      </c>
      <c r="B15" s="27">
        <v>582</v>
      </c>
      <c r="C15" s="13" t="s">
        <v>24</v>
      </c>
      <c r="D15" s="16" t="s">
        <v>25</v>
      </c>
      <c r="E15" s="22">
        <v>11980</v>
      </c>
      <c r="F15" s="29">
        <v>0</v>
      </c>
      <c r="G15" s="29">
        <f t="shared" si="0"/>
        <v>11980</v>
      </c>
    </row>
    <row r="16" spans="1:30" x14ac:dyDescent="0.2">
      <c r="A16" s="27">
        <v>5</v>
      </c>
      <c r="B16" s="27">
        <v>532</v>
      </c>
      <c r="C16" s="13" t="s">
        <v>26</v>
      </c>
      <c r="D16" s="16" t="s">
        <v>25</v>
      </c>
      <c r="E16" s="22">
        <v>11490</v>
      </c>
      <c r="F16" s="29">
        <v>0</v>
      </c>
      <c r="G16" s="29">
        <f t="shared" si="0"/>
        <v>11490</v>
      </c>
    </row>
    <row r="17" spans="1:7" x14ac:dyDescent="0.2">
      <c r="A17" s="27">
        <v>6</v>
      </c>
      <c r="B17" s="27">
        <v>52</v>
      </c>
      <c r="C17" s="13" t="s">
        <v>27</v>
      </c>
      <c r="D17" s="16" t="s">
        <v>19</v>
      </c>
      <c r="E17" s="22">
        <v>11980</v>
      </c>
      <c r="F17" s="29">
        <v>0</v>
      </c>
      <c r="G17" s="29">
        <f t="shared" si="0"/>
        <v>11980</v>
      </c>
    </row>
    <row r="18" spans="1:7" x14ac:dyDescent="0.2">
      <c r="A18" s="27">
        <v>7</v>
      </c>
      <c r="B18" s="27">
        <v>82</v>
      </c>
      <c r="C18" s="13" t="s">
        <v>28</v>
      </c>
      <c r="D18" s="16" t="s">
        <v>19</v>
      </c>
      <c r="E18" s="22">
        <v>11980</v>
      </c>
      <c r="F18" s="29">
        <v>0</v>
      </c>
      <c r="G18" s="29">
        <f t="shared" si="0"/>
        <v>11980</v>
      </c>
    </row>
    <row r="19" spans="1:7" x14ac:dyDescent="0.2">
      <c r="A19" s="27">
        <v>8</v>
      </c>
      <c r="B19" s="27">
        <v>538</v>
      </c>
      <c r="C19" s="13" t="s">
        <v>29</v>
      </c>
      <c r="D19" s="16" t="s">
        <v>19</v>
      </c>
      <c r="E19" s="22">
        <v>11980</v>
      </c>
      <c r="F19" s="29">
        <v>0</v>
      </c>
      <c r="G19" s="29">
        <f t="shared" si="0"/>
        <v>11980</v>
      </c>
    </row>
    <row r="20" spans="1:7" x14ac:dyDescent="0.2">
      <c r="A20" s="27">
        <v>9</v>
      </c>
      <c r="B20" s="27">
        <v>534</v>
      </c>
      <c r="C20" s="14" t="s">
        <v>30</v>
      </c>
      <c r="D20" s="17" t="s">
        <v>19</v>
      </c>
      <c r="E20" s="22">
        <v>8900</v>
      </c>
      <c r="F20" s="29">
        <v>0</v>
      </c>
      <c r="G20" s="29">
        <f t="shared" si="0"/>
        <v>8900</v>
      </c>
    </row>
    <row r="21" spans="1:7" x14ac:dyDescent="0.2">
      <c r="A21" s="27">
        <v>10</v>
      </c>
      <c r="B21" s="27">
        <v>382</v>
      </c>
      <c r="C21" s="13" t="s">
        <v>31</v>
      </c>
      <c r="D21" s="16" t="s">
        <v>19</v>
      </c>
      <c r="E21" s="22">
        <v>9350</v>
      </c>
      <c r="F21" s="29">
        <v>0</v>
      </c>
      <c r="G21" s="29">
        <f t="shared" si="0"/>
        <v>9350</v>
      </c>
    </row>
    <row r="22" spans="1:7" ht="13.5" x14ac:dyDescent="0.25">
      <c r="A22" s="310" t="s">
        <v>36</v>
      </c>
      <c r="B22" s="310"/>
      <c r="C22" s="310"/>
      <c r="D22" s="310"/>
      <c r="E22" s="31">
        <f>SUM(E12:E21)</f>
        <v>153560</v>
      </c>
      <c r="F22" s="31">
        <f>SUM(F12:F21)</f>
        <v>0</v>
      </c>
      <c r="G22" s="31">
        <f>SUM(G12:G21)</f>
        <v>153560</v>
      </c>
    </row>
    <row r="23" spans="1:7" x14ac:dyDescent="0.2">
      <c r="A23" s="131" t="s">
        <v>101</v>
      </c>
      <c r="B23"/>
      <c r="C23"/>
      <c r="D23"/>
      <c r="E23"/>
      <c r="F23"/>
      <c r="G23"/>
    </row>
    <row r="24" spans="1:7" x14ac:dyDescent="0.2">
      <c r="A24" s="32">
        <v>11</v>
      </c>
      <c r="B24" s="27">
        <v>74</v>
      </c>
      <c r="C24" s="13" t="s">
        <v>32</v>
      </c>
      <c r="D24" s="16" t="s">
        <v>33</v>
      </c>
      <c r="E24" s="22">
        <v>7715</v>
      </c>
      <c r="F24" s="29">
        <v>0</v>
      </c>
      <c r="G24" s="29">
        <f>E24+F24</f>
        <v>7715</v>
      </c>
    </row>
    <row r="25" spans="1:7" x14ac:dyDescent="0.2">
      <c r="A25" s="32">
        <v>12</v>
      </c>
      <c r="B25" s="27">
        <v>141</v>
      </c>
      <c r="C25" s="13" t="s">
        <v>90</v>
      </c>
      <c r="D25" s="16" t="s">
        <v>33</v>
      </c>
      <c r="E25" s="22">
        <v>8850</v>
      </c>
      <c r="F25" s="29">
        <v>0</v>
      </c>
      <c r="G25" s="29">
        <f>E25+F25</f>
        <v>8850</v>
      </c>
    </row>
    <row r="26" spans="1:7" x14ac:dyDescent="0.2">
      <c r="A26" s="32">
        <v>13</v>
      </c>
      <c r="B26" s="27">
        <v>16</v>
      </c>
      <c r="C26" s="13" t="s">
        <v>34</v>
      </c>
      <c r="D26" s="16" t="s">
        <v>33</v>
      </c>
      <c r="E26" s="22">
        <v>8295</v>
      </c>
      <c r="F26" s="22">
        <v>175</v>
      </c>
      <c r="G26" s="29">
        <f>E26+F26</f>
        <v>8470</v>
      </c>
    </row>
    <row r="27" spans="1:7" x14ac:dyDescent="0.2">
      <c r="A27" s="32">
        <v>14</v>
      </c>
      <c r="B27" s="27">
        <v>78</v>
      </c>
      <c r="C27" s="15" t="s">
        <v>35</v>
      </c>
      <c r="D27" s="16" t="s">
        <v>86</v>
      </c>
      <c r="E27" s="22">
        <v>8295</v>
      </c>
      <c r="F27" s="22">
        <v>5</v>
      </c>
      <c r="G27" s="29">
        <f>E27+F27</f>
        <v>8300</v>
      </c>
    </row>
    <row r="28" spans="1:7" ht="13.5" x14ac:dyDescent="0.25">
      <c r="A28" s="310" t="s">
        <v>36</v>
      </c>
      <c r="B28" s="310"/>
      <c r="C28" s="310"/>
      <c r="D28" s="310"/>
      <c r="E28" s="31">
        <f>SUM(E24:E27)</f>
        <v>33155</v>
      </c>
      <c r="F28" s="31">
        <f>SUM(F24:F27)</f>
        <v>180</v>
      </c>
      <c r="G28" s="31">
        <f>SUM(G24:G27)</f>
        <v>33335</v>
      </c>
    </row>
    <row r="29" spans="1:7" x14ac:dyDescent="0.2">
      <c r="A29" s="20"/>
      <c r="B29" s="20"/>
      <c r="C29" s="20"/>
      <c r="D29" s="20"/>
      <c r="E29" s="23"/>
      <c r="F29" s="23"/>
      <c r="G29" s="23"/>
    </row>
    <row r="30" spans="1:7" x14ac:dyDescent="0.2">
      <c r="A30" s="270" t="s">
        <v>37</v>
      </c>
      <c r="B30" s="270"/>
      <c r="C30" s="270"/>
      <c r="D30" s="270"/>
      <c r="E30" s="24">
        <f>E22+E28</f>
        <v>186715</v>
      </c>
      <c r="F30" s="24">
        <f>F22+F28</f>
        <v>180</v>
      </c>
      <c r="G30" s="24">
        <f>G22+G28</f>
        <v>186895</v>
      </c>
    </row>
    <row r="31" spans="1:7" x14ac:dyDescent="0.2">
      <c r="A31"/>
      <c r="B31"/>
      <c r="C31"/>
      <c r="D31"/>
      <c r="E31"/>
      <c r="F31"/>
      <c r="G31"/>
    </row>
    <row r="32" spans="1:7" x14ac:dyDescent="0.2">
      <c r="A32"/>
      <c r="B32"/>
      <c r="C32"/>
      <c r="D32"/>
      <c r="E32"/>
      <c r="F32"/>
      <c r="G32"/>
    </row>
    <row r="33" spans="3:7" x14ac:dyDescent="0.2">
      <c r="C33" s="10" t="s">
        <v>44</v>
      </c>
      <c r="D33" s="7"/>
      <c r="E33" s="9"/>
      <c r="F33" s="7"/>
      <c r="G33" s="8"/>
    </row>
    <row r="34" spans="3:7" x14ac:dyDescent="0.2">
      <c r="C34" s="9"/>
      <c r="D34" s="7"/>
      <c r="E34" s="9"/>
      <c r="F34" s="7"/>
      <c r="G34" s="8"/>
    </row>
    <row r="35" spans="3:7" x14ac:dyDescent="0.2">
      <c r="C35" s="39" t="s">
        <v>19</v>
      </c>
    </row>
    <row r="36" spans="3:7" x14ac:dyDescent="0.2">
      <c r="F36" s="36"/>
    </row>
    <row r="37" spans="3:7" x14ac:dyDescent="0.2">
      <c r="C37" s="37"/>
      <c r="D37" s="38"/>
      <c r="E37" s="38"/>
      <c r="F37" s="38"/>
      <c r="G37" s="38"/>
    </row>
    <row r="38" spans="3:7" x14ac:dyDescent="0.2">
      <c r="C38" s="1" t="s">
        <v>15</v>
      </c>
      <c r="D38" s="37"/>
      <c r="E38" s="38"/>
      <c r="F38" s="38"/>
      <c r="G38" s="38"/>
    </row>
    <row r="39" spans="3:7" x14ac:dyDescent="0.2">
      <c r="C39" s="11"/>
    </row>
    <row r="40" spans="3:7" x14ac:dyDescent="0.2">
      <c r="C40" s="10" t="s">
        <v>85</v>
      </c>
    </row>
    <row r="43" spans="3:7" x14ac:dyDescent="0.2">
      <c r="C43" s="1" t="s">
        <v>16</v>
      </c>
    </row>
    <row r="45" spans="3:7" x14ac:dyDescent="0.2">
      <c r="C45" s="6" t="s">
        <v>84</v>
      </c>
    </row>
  </sheetData>
  <mergeCells count="12">
    <mergeCell ref="A22:D22"/>
    <mergeCell ref="A28:D28"/>
    <mergeCell ref="A30:D30"/>
    <mergeCell ref="A1:G1"/>
    <mergeCell ref="A3:G3"/>
    <mergeCell ref="A6:A9"/>
    <mergeCell ref="B6:B9"/>
    <mergeCell ref="C6:C9"/>
    <mergeCell ref="D6:D9"/>
    <mergeCell ref="E6:E9"/>
    <mergeCell ref="F6:F9"/>
    <mergeCell ref="G6:G9"/>
  </mergeCells>
  <printOptions horizontalCentered="1" verticalCentered="1"/>
  <pageMargins left="1" right="0.7" top="0.75" bottom="0.75" header="0.3" footer="0.3"/>
  <pageSetup paperSize="5" scale="15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activeCell="E15" sqref="E15"/>
    </sheetView>
  </sheetViews>
  <sheetFormatPr defaultRowHeight="12.75" x14ac:dyDescent="0.2"/>
  <cols>
    <col min="1" max="2" width="8.28515625" customWidth="1"/>
    <col min="3" max="3" width="25" customWidth="1"/>
    <col min="4" max="4" width="14.42578125" customWidth="1"/>
    <col min="5" max="5" width="16.140625" customWidth="1"/>
  </cols>
  <sheetData>
    <row r="1" spans="1:5" ht="18" x14ac:dyDescent="0.2">
      <c r="A1" s="304" t="s">
        <v>45</v>
      </c>
      <c r="B1" s="304"/>
      <c r="C1" s="304"/>
      <c r="D1" s="304"/>
      <c r="E1" s="304"/>
    </row>
    <row r="2" spans="1:5" ht="15.75" x14ac:dyDescent="0.2">
      <c r="A2" s="305" t="s">
        <v>82</v>
      </c>
      <c r="B2" s="305"/>
      <c r="C2" s="305"/>
      <c r="D2" s="305"/>
      <c r="E2" s="305"/>
    </row>
    <row r="3" spans="1:5" ht="18" x14ac:dyDescent="0.2">
      <c r="A3" s="71"/>
      <c r="B3" s="71"/>
      <c r="C3" s="80"/>
      <c r="D3" s="80"/>
      <c r="E3" s="80"/>
    </row>
    <row r="4" spans="1:5" ht="15" x14ac:dyDescent="0.2">
      <c r="A4" s="306" t="s">
        <v>177</v>
      </c>
      <c r="B4" s="306"/>
      <c r="C4" s="306"/>
      <c r="D4" s="306"/>
      <c r="E4" s="306"/>
    </row>
    <row r="5" spans="1:5" ht="15" x14ac:dyDescent="0.2">
      <c r="A5" s="82"/>
      <c r="B5" s="82"/>
      <c r="C5" s="204"/>
      <c r="D5" s="306"/>
      <c r="E5" s="306"/>
    </row>
    <row r="6" spans="1:5" ht="15.75" x14ac:dyDescent="0.2">
      <c r="A6" s="307" t="s">
        <v>80</v>
      </c>
      <c r="B6" s="307"/>
      <c r="C6" s="307"/>
      <c r="D6" s="124" t="str">
        <f>TEXT(Voucer!E2,"mmmm, yyyy")</f>
        <v>August, 2021</v>
      </c>
      <c r="E6" s="69"/>
    </row>
    <row r="7" spans="1:5" ht="15.75" x14ac:dyDescent="0.2">
      <c r="A7" s="82"/>
      <c r="B7" s="82"/>
      <c r="C7" s="205"/>
      <c r="D7" s="90"/>
      <c r="E7" s="83"/>
    </row>
    <row r="8" spans="1:5" ht="15" x14ac:dyDescent="0.2">
      <c r="A8" s="75" t="s">
        <v>81</v>
      </c>
      <c r="B8" s="75" t="s">
        <v>178</v>
      </c>
      <c r="C8" s="75" t="s">
        <v>76</v>
      </c>
      <c r="D8" s="74" t="s">
        <v>77</v>
      </c>
      <c r="E8" s="74" t="s">
        <v>179</v>
      </c>
    </row>
    <row r="9" spans="1:5" ht="15.75" x14ac:dyDescent="0.2">
      <c r="A9" s="301" t="s">
        <v>101</v>
      </c>
      <c r="B9" s="302"/>
      <c r="C9" s="302"/>
      <c r="D9" s="302"/>
      <c r="E9" s="303"/>
    </row>
    <row r="10" spans="1:5" ht="15" x14ac:dyDescent="0.2">
      <c r="A10" s="87"/>
      <c r="B10" s="87"/>
      <c r="C10" s="87"/>
      <c r="D10" s="87"/>
      <c r="E10" s="216">
        <v>1000</v>
      </c>
    </row>
    <row r="11" spans="1:5" ht="15" x14ac:dyDescent="0.2">
      <c r="A11" s="87">
        <f>SalarySheet!A17</f>
        <v>1</v>
      </c>
      <c r="B11" s="87">
        <f>SalarySheet!B17</f>
        <v>74</v>
      </c>
      <c r="C11" s="87" t="str">
        <f>SalarySheet!C17</f>
        <v xml:space="preserve">Md. Alamgir </v>
      </c>
      <c r="D11" s="87" t="str">
        <f>SalarySheet!D17</f>
        <v>SS-1</v>
      </c>
      <c r="E11" s="216">
        <v>2067</v>
      </c>
    </row>
    <row r="12" spans="1:5" ht="15" x14ac:dyDescent="0.2">
      <c r="A12" s="87" t="e">
        <f>SalarySheet!#REF!</f>
        <v>#REF!</v>
      </c>
      <c r="B12" s="87" t="e">
        <f>SalarySheet!#REF!</f>
        <v>#REF!</v>
      </c>
      <c r="C12" s="87" t="e">
        <f>SalarySheet!#REF!</f>
        <v>#REF!</v>
      </c>
      <c r="D12" s="87" t="e">
        <f>SalarySheet!#REF!</f>
        <v>#REF!</v>
      </c>
      <c r="E12" s="216">
        <v>2067</v>
      </c>
    </row>
    <row r="13" spans="1:5" ht="15" x14ac:dyDescent="0.2">
      <c r="A13" s="87">
        <f>SalarySheet!A18</f>
        <v>2</v>
      </c>
      <c r="B13" s="87">
        <f>SalarySheet!B18</f>
        <v>16</v>
      </c>
      <c r="C13" s="87" t="str">
        <f>SalarySheet!C18</f>
        <v xml:space="preserve">Md. Khalil </v>
      </c>
      <c r="D13" s="87" t="str">
        <f>SalarySheet!D18</f>
        <v>SS-1</v>
      </c>
      <c r="E13" s="216">
        <v>2034</v>
      </c>
    </row>
    <row r="14" spans="1:5" ht="15.75" x14ac:dyDescent="0.2">
      <c r="A14" s="87" t="str">
        <f>SalarySheet!A19</f>
        <v>Sub Total:</v>
      </c>
      <c r="B14" s="87"/>
      <c r="C14" s="77" t="s">
        <v>83</v>
      </c>
      <c r="D14" s="74"/>
      <c r="E14" s="215">
        <f>SUM(E10:E13)</f>
        <v>7168</v>
      </c>
    </row>
    <row r="15" spans="1:5" x14ac:dyDescent="0.2">
      <c r="E15" t="s">
        <v>196</v>
      </c>
    </row>
  </sheetData>
  <mergeCells count="6">
    <mergeCell ref="A9:E9"/>
    <mergeCell ref="A1:E1"/>
    <mergeCell ref="A2:E2"/>
    <mergeCell ref="A4:E4"/>
    <mergeCell ref="D5:E5"/>
    <mergeCell ref="A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SalarySheet</vt:lpstr>
      <vt:lpstr>Voucer</vt:lpstr>
      <vt:lpstr>SF</vt:lpstr>
      <vt:lpstr>BCGF</vt:lpstr>
      <vt:lpstr>BCPF</vt:lpstr>
      <vt:lpstr>PF BDBL</vt:lpstr>
      <vt:lpstr>PF BSB</vt:lpstr>
      <vt:lpstr>HBA</vt:lpstr>
      <vt:lpstr>MCL</vt:lpstr>
      <vt:lpstr>CL</vt:lpstr>
      <vt:lpstr>BF</vt:lpstr>
      <vt:lpstr>TAX</vt:lpstr>
      <vt:lpstr>Net Pay</vt:lpstr>
      <vt:lpstr>Sheet1</vt:lpstr>
      <vt:lpstr>PF Loan</vt:lpstr>
      <vt:lpstr>branch</vt:lpstr>
      <vt:lpstr>HO</vt:lpstr>
      <vt:lpstr>SalarySheet!Print_Area</vt:lpstr>
    </vt:vector>
  </TitlesOfParts>
  <Company>CIT CONSORTIUM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BDBL</dc:creator>
  <cp:lastModifiedBy>Shameema alam</cp:lastModifiedBy>
  <cp:lastPrinted>2021-08-29T06:52:08Z</cp:lastPrinted>
  <dcterms:created xsi:type="dcterms:W3CDTF">2002-03-23T05:44:07Z</dcterms:created>
  <dcterms:modified xsi:type="dcterms:W3CDTF">2021-09-27T06:15:03Z</dcterms:modified>
</cp:coreProperties>
</file>