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hameema.alam\Desktop\Branch_salary\"/>
    </mc:Choice>
  </mc:AlternateContent>
  <bookViews>
    <workbookView xWindow="0" yWindow="0" windowWidth="20490" windowHeight="7755" tabRatio="882" firstSheet="1" activeTab="1"/>
  </bookViews>
  <sheets>
    <sheet name="MB Salary sheet Oct-2020Kalam " sheetId="156" state="hidden" r:id="rId1"/>
    <sheet name="RPB Salary  August 2021" sheetId="157" r:id="rId2"/>
    <sheet name="RPB  HBA &amp; MCA Deduct Augu 2021" sheetId="154" r:id="rId3"/>
    <sheet name="RPB voucher  August2021 " sheetId="155" r:id="rId4"/>
    <sheet name="Nov 2020" sheetId="150" state="hidden" r:id="rId5"/>
    <sheet name="STATEMENT" sheetId="8" state="hidden" r:id="rId6"/>
    <sheet name="VOUCHER" sheetId="81" state="hidden" r:id="rId7"/>
    <sheet name="Bonus" sheetId="151" r:id="rId8"/>
    <sheet name="RPB Baishakhi Vata 31.03.2021" sheetId="158" r:id="rId9"/>
    <sheet name="Sheet1" sheetId="152" state="hidden" r:id="rId10"/>
    <sheet name="Sheet2" sheetId="153" state="hidden" r:id="rId11"/>
  </sheets>
  <functionGroups builtInGroupCount="18"/>
  <externalReferences>
    <externalReference r:id="rId12"/>
  </externalReferences>
  <definedNames>
    <definedName name="_xlnm._FilterDatabase" localSheetId="3" hidden="1">'RPB voucher  August2021 '!$D$2:$D$54</definedName>
    <definedName name="BONUS" localSheetId="2">#REF!</definedName>
    <definedName name="BONUS" localSheetId="8">#REF!</definedName>
    <definedName name="BONUS" localSheetId="1">#REF!</definedName>
    <definedName name="BONUS" localSheetId="3">#REF!</definedName>
    <definedName name="BONUS">#REF!</definedName>
    <definedName name="_xlnm.Print_Area" localSheetId="0">'MB Salary sheet Oct-2020Kalam '!$A$1:$AK$40</definedName>
    <definedName name="_xlnm.Print_Area" localSheetId="4">'Nov 2020'!$A$1:$AJ$34</definedName>
    <definedName name="_xlnm.Print_Area" localSheetId="1">'RPB Salary  August 2021'!$A$1:$AJ$32</definedName>
    <definedName name="_xlnm.Print_Area" localSheetId="3">'RPB voucher  August2021 '!$A$2:$D$55</definedName>
    <definedName name="_xlnm.Print_Area" localSheetId="5">STATEMENT!$A$1:$J$356</definedName>
    <definedName name="_xlnm.Print_Area" localSheetId="6">VOUCHER!$A$1:$J$570</definedName>
    <definedName name="_xlnm.Print_Titles" localSheetId="4">'Nov 2020'!$5:$6</definedName>
    <definedName name="_xlnm.Print_Titles" localSheetId="1">'RPB Salary  August 2021'!$5:$6</definedName>
  </definedNames>
  <calcPr calcId="152511"/>
</workbook>
</file>

<file path=xl/calcChain.xml><?xml version="1.0" encoding="utf-8"?>
<calcChain xmlns="http://schemas.openxmlformats.org/spreadsheetml/2006/main">
  <c r="AH24" i="157" l="1"/>
  <c r="B40" i="154"/>
  <c r="D90" i="154"/>
  <c r="D89" i="154"/>
  <c r="A89" i="154"/>
  <c r="B89" i="154"/>
  <c r="A90" i="154"/>
  <c r="I21" i="157"/>
  <c r="H44" i="154"/>
  <c r="I43" i="154" s="1"/>
  <c r="J43" i="154" s="1"/>
  <c r="G34" i="154"/>
  <c r="T37" i="157"/>
  <c r="I37" i="157"/>
  <c r="J36" i="157"/>
  <c r="M36" i="157" s="1"/>
  <c r="N36" i="157" s="1"/>
  <c r="T38" i="157" s="1"/>
  <c r="AS13" i="157"/>
  <c r="AR14" i="157" s="1"/>
  <c r="AQ12" i="157"/>
  <c r="AR13" i="157"/>
  <c r="AB25" i="157"/>
  <c r="N25" i="157"/>
  <c r="P24" i="157"/>
  <c r="P25" i="157" s="1"/>
  <c r="Q24" i="157"/>
  <c r="Q25" i="157" s="1"/>
  <c r="S24" i="157"/>
  <c r="U24" i="157"/>
  <c r="X24" i="157"/>
  <c r="Z24" i="157"/>
  <c r="AB24" i="157"/>
  <c r="AC24" i="157"/>
  <c r="AC25" i="157" s="1"/>
  <c r="AD24" i="157"/>
  <c r="AE24" i="157"/>
  <c r="AE25" i="157" s="1"/>
  <c r="AF24" i="157"/>
  <c r="AF25" i="157" s="1"/>
  <c r="AG24" i="157"/>
  <c r="H24" i="157"/>
  <c r="H25" i="157" s="1"/>
  <c r="J24" i="157"/>
  <c r="J25" i="157" s="1"/>
  <c r="K24" i="157"/>
  <c r="K25" i="157" s="1"/>
  <c r="L24" i="157"/>
  <c r="L25" i="157" s="1"/>
  <c r="N24" i="157"/>
  <c r="O24" i="157"/>
  <c r="O25" i="157" s="1"/>
  <c r="G24" i="157"/>
  <c r="P18" i="157"/>
  <c r="Q18" i="157"/>
  <c r="Z18" i="157"/>
  <c r="Z25" i="157" s="1"/>
  <c r="AB18" i="157"/>
  <c r="AC18" i="157"/>
  <c r="AE18" i="157"/>
  <c r="AF18" i="157"/>
  <c r="AG18" i="157"/>
  <c r="AG25" i="157" s="1"/>
  <c r="D27" i="155" s="1"/>
  <c r="AH18" i="157"/>
  <c r="AH25" i="157" s="1"/>
  <c r="D23" i="155" s="1"/>
  <c r="H18" i="157"/>
  <c r="J18" i="157"/>
  <c r="K18" i="157"/>
  <c r="L18" i="157"/>
  <c r="N18" i="157"/>
  <c r="O18" i="157"/>
  <c r="G18" i="157"/>
  <c r="I33" i="154" l="1"/>
  <c r="J33" i="154" s="1"/>
  <c r="J35" i="154"/>
  <c r="G25" i="157"/>
  <c r="B29" i="154"/>
  <c r="D14" i="155"/>
  <c r="W40" i="157"/>
  <c r="V40" i="157"/>
  <c r="V42" i="157" s="1"/>
  <c r="D39" i="157"/>
  <c r="D40" i="157" s="1"/>
  <c r="E37" i="157"/>
  <c r="F37" i="157" s="1"/>
  <c r="G37" i="157" s="1"/>
  <c r="D36" i="157"/>
  <c r="I15" i="157"/>
  <c r="T15" i="157" s="1"/>
  <c r="W15" i="157" s="1"/>
  <c r="C7" i="154"/>
  <c r="B7" i="154"/>
  <c r="F18" i="158"/>
  <c r="E17" i="158"/>
  <c r="G17" i="158" s="1"/>
  <c r="G16" i="158"/>
  <c r="E16" i="158"/>
  <c r="E15" i="158"/>
  <c r="G15" i="158" s="1"/>
  <c r="E14" i="158"/>
  <c r="G14" i="158" s="1"/>
  <c r="G13" i="158"/>
  <c r="E13" i="158"/>
  <c r="E12" i="158"/>
  <c r="G12" i="158" s="1"/>
  <c r="E11" i="158"/>
  <c r="G11" i="158" s="1"/>
  <c r="E10" i="158"/>
  <c r="G10" i="158" s="1"/>
  <c r="G9" i="158"/>
  <c r="E9" i="158"/>
  <c r="E8" i="158"/>
  <c r="G8" i="158" s="1"/>
  <c r="A8" i="158"/>
  <c r="A9" i="158" s="1"/>
  <c r="A10" i="158" s="1"/>
  <c r="A11" i="158" s="1"/>
  <c r="A12" i="158" s="1"/>
  <c r="A13" i="158" s="1"/>
  <c r="A14" i="158" s="1"/>
  <c r="A15" i="158" s="1"/>
  <c r="A16" i="158" s="1"/>
  <c r="A17" i="158" s="1"/>
  <c r="G7" i="158"/>
  <c r="E7" i="158"/>
  <c r="B65" i="154"/>
  <c r="I31" i="154"/>
  <c r="I27" i="154"/>
  <c r="A17" i="154"/>
  <c r="B21" i="157"/>
  <c r="B69" i="154"/>
  <c r="L11" i="152"/>
  <c r="E18" i="158" l="1"/>
  <c r="Y15" i="157"/>
  <c r="G18" i="158"/>
  <c r="A84" i="154"/>
  <c r="A85" i="154" s="1"/>
  <c r="D88" i="154"/>
  <c r="D85" i="154"/>
  <c r="D84" i="154"/>
  <c r="D83" i="154"/>
  <c r="D71" i="154"/>
  <c r="D72" i="154"/>
  <c r="D73" i="154"/>
  <c r="D70" i="154"/>
  <c r="D67" i="154"/>
  <c r="D64" i="154"/>
  <c r="D65" i="154"/>
  <c r="D66" i="154"/>
  <c r="D63" i="154"/>
  <c r="C71" i="154"/>
  <c r="C72" i="154"/>
  <c r="C73" i="154"/>
  <c r="C70" i="154"/>
  <c r="C63" i="154"/>
  <c r="A40" i="154"/>
  <c r="A41" i="154" s="1"/>
  <c r="D39" i="154"/>
  <c r="J12" i="152"/>
  <c r="B90" i="154"/>
  <c r="B91" i="154"/>
  <c r="B86" i="154"/>
  <c r="B87" i="154"/>
  <c r="B88" i="154"/>
  <c r="B83" i="154"/>
  <c r="B84" i="154"/>
  <c r="B85" i="154"/>
  <c r="B82" i="154"/>
  <c r="B73" i="154"/>
  <c r="B70" i="154"/>
  <c r="B71" i="154"/>
  <c r="B72" i="154"/>
  <c r="B67" i="154"/>
  <c r="B68" i="154"/>
  <c r="B63" i="154"/>
  <c r="B64" i="154"/>
  <c r="B66" i="154"/>
  <c r="B62" i="154"/>
  <c r="C40" i="154"/>
  <c r="C41" i="154"/>
  <c r="C37" i="154"/>
  <c r="C39" i="154"/>
  <c r="C30" i="154"/>
  <c r="C31" i="154"/>
  <c r="C33" i="154"/>
  <c r="B37" i="154"/>
  <c r="B39" i="154"/>
  <c r="B41" i="154"/>
  <c r="B33" i="154"/>
  <c r="B35" i="154"/>
  <c r="B36" i="154"/>
  <c r="B30" i="154"/>
  <c r="B31" i="154"/>
  <c r="B32" i="154" s="1"/>
  <c r="B28" i="154"/>
  <c r="A63" i="154"/>
  <c r="A64" i="154" s="1"/>
  <c r="A65" i="154" s="1"/>
  <c r="A66" i="154" s="1"/>
  <c r="A70" i="154" s="1"/>
  <c r="H11" i="152"/>
  <c r="G11" i="152"/>
  <c r="A18" i="154"/>
  <c r="A19" i="154" s="1"/>
  <c r="D91" i="154" l="1"/>
  <c r="D68" i="154"/>
  <c r="D86" i="154"/>
  <c r="A71" i="154"/>
  <c r="A72" i="154" s="1"/>
  <c r="A73" i="154" s="1"/>
  <c r="D74" i="154"/>
  <c r="D75" i="154" s="1"/>
  <c r="A67" i="154"/>
  <c r="I16" i="157"/>
  <c r="D92" i="154" l="1"/>
  <c r="S16" i="157"/>
  <c r="M16" i="157"/>
  <c r="R16" i="157" s="1"/>
  <c r="U16" i="157"/>
  <c r="I23" i="157"/>
  <c r="T23" i="157" s="1"/>
  <c r="W23" i="157" s="1"/>
  <c r="I22" i="157"/>
  <c r="Y22" i="157" s="1"/>
  <c r="B22" i="157"/>
  <c r="B23" i="157" s="1"/>
  <c r="I20" i="157"/>
  <c r="M20" i="157" s="1"/>
  <c r="X16" i="157"/>
  <c r="E16" i="157"/>
  <c r="I14" i="157"/>
  <c r="S14" i="157" s="1"/>
  <c r="W14" i="157" s="1"/>
  <c r="I13" i="157"/>
  <c r="I12" i="157"/>
  <c r="I11" i="157"/>
  <c r="B11" i="157"/>
  <c r="B12" i="157" s="1"/>
  <c r="B13" i="157" s="1"/>
  <c r="I10" i="157"/>
  <c r="A57" i="154"/>
  <c r="A77" i="154" s="1"/>
  <c r="A23" i="154"/>
  <c r="AG24" i="156"/>
  <c r="AF24" i="156"/>
  <c r="AE24" i="156"/>
  <c r="M24" i="156"/>
  <c r="I24" i="156"/>
  <c r="H24" i="156"/>
  <c r="D24" i="156"/>
  <c r="P23" i="156"/>
  <c r="W23" i="156" s="1"/>
  <c r="F23" i="156"/>
  <c r="O23" i="156" s="1"/>
  <c r="V23" i="156" s="1"/>
  <c r="AH22" i="156"/>
  <c r="P22" i="156"/>
  <c r="W22" i="156" s="1"/>
  <c r="G22" i="156"/>
  <c r="F22" i="156"/>
  <c r="T22" i="156" s="1"/>
  <c r="AH21" i="156"/>
  <c r="P21" i="156"/>
  <c r="E21" i="156"/>
  <c r="F21" i="156" s="1"/>
  <c r="Y20" i="156"/>
  <c r="Y24" i="156" s="1"/>
  <c r="T20" i="156"/>
  <c r="AI20" i="156" s="1"/>
  <c r="AJ20" i="156" s="1"/>
  <c r="G20" i="156"/>
  <c r="AD20" i="156" s="1"/>
  <c r="F20" i="156"/>
  <c r="P19" i="156"/>
  <c r="W19" i="156" s="1"/>
  <c r="G19" i="156"/>
  <c r="F19" i="156"/>
  <c r="T19" i="156" s="1"/>
  <c r="AH18" i="156"/>
  <c r="F18" i="156"/>
  <c r="Q18" i="156" s="1"/>
  <c r="P17" i="156"/>
  <c r="W17" i="156" s="1"/>
  <c r="F17" i="156"/>
  <c r="F24" i="156" s="1"/>
  <c r="P16" i="156"/>
  <c r="O16" i="156"/>
  <c r="F16" i="156"/>
  <c r="Y16" i="156" s="1"/>
  <c r="E16" i="156"/>
  <c r="E15" i="156"/>
  <c r="F14" i="156"/>
  <c r="T14" i="156" s="1"/>
  <c r="AI14" i="156" s="1"/>
  <c r="AJ14" i="156" s="1"/>
  <c r="E14" i="156"/>
  <c r="G13" i="156"/>
  <c r="F13" i="156"/>
  <c r="T13" i="156" s="1"/>
  <c r="AI13" i="156" s="1"/>
  <c r="AJ13" i="156" s="1"/>
  <c r="E13" i="156"/>
  <c r="E12" i="156"/>
  <c r="F12" i="156" s="1"/>
  <c r="AH11" i="156"/>
  <c r="E11" i="156"/>
  <c r="F11" i="156" s="1"/>
  <c r="AH10" i="156"/>
  <c r="T10" i="156"/>
  <c r="F10" i="156"/>
  <c r="A9" i="155"/>
  <c r="A10" i="155" s="1"/>
  <c r="A11" i="155" s="1"/>
  <c r="G15" i="155"/>
  <c r="G18" i="155"/>
  <c r="G20" i="155"/>
  <c r="K30" i="155"/>
  <c r="L30" i="155"/>
  <c r="A32" i="155"/>
  <c r="A33" i="155" s="1"/>
  <c r="A34" i="155" s="1"/>
  <c r="A35" i="155" s="1"/>
  <c r="A36" i="155" s="1"/>
  <c r="A37" i="155" s="1"/>
  <c r="A38" i="155" s="1"/>
  <c r="A39" i="155" s="1"/>
  <c r="A40" i="155" s="1"/>
  <c r="A41" i="155" s="1"/>
  <c r="K55" i="155"/>
  <c r="A8" i="154"/>
  <c r="A9" i="154" s="1"/>
  <c r="A10" i="154" s="1"/>
  <c r="A11" i="154" s="1"/>
  <c r="A12" i="154" s="1"/>
  <c r="A13" i="154" s="1"/>
  <c r="U17" i="150"/>
  <c r="N17" i="150"/>
  <c r="I17" i="150"/>
  <c r="N18" i="150"/>
  <c r="M18" i="150"/>
  <c r="I18" i="150"/>
  <c r="R18" i="150" s="1"/>
  <c r="E17" i="150"/>
  <c r="D17" i="150"/>
  <c r="R17" i="150" l="1"/>
  <c r="V17" i="150" s="1"/>
  <c r="V18" i="150"/>
  <c r="T21" i="156"/>
  <c r="G21" i="156"/>
  <c r="Y17" i="150"/>
  <c r="G17" i="156"/>
  <c r="AD17" i="156" s="1"/>
  <c r="AI23" i="157"/>
  <c r="S18" i="150"/>
  <c r="S17" i="150"/>
  <c r="W17" i="150" s="1"/>
  <c r="M17" i="150"/>
  <c r="U18" i="150"/>
  <c r="X17" i="150"/>
  <c r="G10" i="156"/>
  <c r="N10" i="156" s="1"/>
  <c r="N20" i="156"/>
  <c r="AI10" i="156"/>
  <c r="AJ10" i="156" s="1"/>
  <c r="AH24" i="156"/>
  <c r="S11" i="157"/>
  <c r="U11" i="157"/>
  <c r="T21" i="157"/>
  <c r="I24" i="157"/>
  <c r="Y13" i="157"/>
  <c r="I18" i="157"/>
  <c r="Y10" i="157"/>
  <c r="M10" i="157"/>
  <c r="T10" i="157"/>
  <c r="W10" i="157" s="1"/>
  <c r="M15" i="157"/>
  <c r="R15" i="157" s="1"/>
  <c r="V15" i="157" s="1"/>
  <c r="Y20" i="157"/>
  <c r="D38" i="155"/>
  <c r="T13" i="157"/>
  <c r="X12" i="157"/>
  <c r="U12" i="157"/>
  <c r="M30" i="155"/>
  <c r="A12" i="155"/>
  <c r="A13" i="155" s="1"/>
  <c r="A14" i="155" s="1"/>
  <c r="A15" i="155" s="1"/>
  <c r="A16" i="155" s="1"/>
  <c r="A17" i="155" s="1"/>
  <c r="A18" i="155" s="1"/>
  <c r="A19" i="155" s="1"/>
  <c r="A20" i="155" s="1"/>
  <c r="A21" i="155" s="1"/>
  <c r="A22" i="155" s="1"/>
  <c r="A23" i="155" s="1"/>
  <c r="A24" i="155" s="1"/>
  <c r="A25" i="155" s="1"/>
  <c r="I28" i="154"/>
  <c r="T20" i="157"/>
  <c r="W20" i="157" s="1"/>
  <c r="AI20" i="157" s="1"/>
  <c r="B14" i="157"/>
  <c r="B15" i="157" s="1"/>
  <c r="B16" i="157" s="1"/>
  <c r="M13" i="157"/>
  <c r="AA13" i="157" s="1"/>
  <c r="D22" i="155"/>
  <c r="T22" i="157"/>
  <c r="W22" i="157" s="1"/>
  <c r="D10" i="155"/>
  <c r="Y11" i="157"/>
  <c r="M11" i="157"/>
  <c r="Y16" i="157"/>
  <c r="Y21" i="157"/>
  <c r="M12" i="157"/>
  <c r="D39" i="155"/>
  <c r="M21" i="157"/>
  <c r="D34" i="155"/>
  <c r="D40" i="155"/>
  <c r="D11" i="155"/>
  <c r="D41" i="155"/>
  <c r="D24" i="155"/>
  <c r="Y12" i="157"/>
  <c r="X14" i="157"/>
  <c r="W11" i="157"/>
  <c r="X11" i="157"/>
  <c r="S12" i="157"/>
  <c r="W12" i="157" s="1"/>
  <c r="W16" i="157"/>
  <c r="D33" i="155"/>
  <c r="R20" i="157"/>
  <c r="M22" i="157"/>
  <c r="AA22" i="157" s="1"/>
  <c r="D40" i="154" s="1"/>
  <c r="Y23" i="157"/>
  <c r="M14" i="157"/>
  <c r="R14" i="157" s="1"/>
  <c r="AD14" i="157"/>
  <c r="M23" i="157"/>
  <c r="AA23" i="157" s="1"/>
  <c r="U14" i="157"/>
  <c r="Y14" i="157"/>
  <c r="J31" i="154"/>
  <c r="T11" i="156"/>
  <c r="G11" i="156"/>
  <c r="AD11" i="156" s="1"/>
  <c r="Q11" i="156"/>
  <c r="G12" i="156"/>
  <c r="N12" i="156"/>
  <c r="R12" i="156" s="1"/>
  <c r="AK12" i="156" s="1"/>
  <c r="T12" i="156"/>
  <c r="AI12" i="156" s="1"/>
  <c r="AJ12" i="156" s="1"/>
  <c r="W24" i="156"/>
  <c r="Q10" i="156"/>
  <c r="T16" i="156"/>
  <c r="AI16" i="156" s="1"/>
  <c r="AJ16" i="156" s="1"/>
  <c r="O17" i="156"/>
  <c r="N18" i="156"/>
  <c r="R18" i="156" s="1"/>
  <c r="O19" i="156"/>
  <c r="V19" i="156" s="1"/>
  <c r="AI19" i="156" s="1"/>
  <c r="AJ19" i="156" s="1"/>
  <c r="Q20" i="156"/>
  <c r="R20" i="156" s="1"/>
  <c r="AK20" i="156" s="1"/>
  <c r="O21" i="156"/>
  <c r="Y21" i="156"/>
  <c r="AI21" i="156" s="1"/>
  <c r="AJ21" i="156" s="1"/>
  <c r="O22" i="156"/>
  <c r="V22" i="156" s="1"/>
  <c r="AI22" i="156" s="1"/>
  <c r="AJ22" i="156" s="1"/>
  <c r="T23" i="156"/>
  <c r="AI23" i="156" s="1"/>
  <c r="AJ23" i="156" s="1"/>
  <c r="N13" i="156"/>
  <c r="R13" i="156" s="1"/>
  <c r="AK13" i="156" s="1"/>
  <c r="G14" i="156"/>
  <c r="N14" i="156" s="1"/>
  <c r="R14" i="156" s="1"/>
  <c r="AK14" i="156" s="1"/>
  <c r="F15" i="156"/>
  <c r="G16" i="156"/>
  <c r="N16" i="156" s="1"/>
  <c r="R16" i="156" s="1"/>
  <c r="AK16" i="156" s="1"/>
  <c r="N17" i="156"/>
  <c r="R17" i="156" s="1"/>
  <c r="T17" i="156"/>
  <c r="G18" i="156"/>
  <c r="AD18" i="156" s="1"/>
  <c r="AD24" i="156" s="1"/>
  <c r="T18" i="156"/>
  <c r="AI18" i="156" s="1"/>
  <c r="AJ18" i="156" s="1"/>
  <c r="N19" i="156"/>
  <c r="R19" i="156" s="1"/>
  <c r="N21" i="156"/>
  <c r="R21" i="156" s="1"/>
  <c r="N22" i="156"/>
  <c r="G23" i="156"/>
  <c r="N23" i="156" s="1"/>
  <c r="R23" i="156" s="1"/>
  <c r="AK23" i="156" s="1"/>
  <c r="P24" i="156"/>
  <c r="H14" i="153"/>
  <c r="F13" i="153"/>
  <c r="F14" i="153" s="1"/>
  <c r="E13" i="153"/>
  <c r="D13" i="153"/>
  <c r="C13" i="153"/>
  <c r="D41" i="154" l="1"/>
  <c r="D43" i="154" s="1"/>
  <c r="D42" i="154"/>
  <c r="AI17" i="150"/>
  <c r="R10" i="156"/>
  <c r="AK10" i="156" s="1"/>
  <c r="X18" i="157"/>
  <c r="X25" i="157" s="1"/>
  <c r="AJ17" i="150"/>
  <c r="AA24" i="157"/>
  <c r="W21" i="157"/>
  <c r="T24" i="157"/>
  <c r="R21" i="157"/>
  <c r="M24" i="157"/>
  <c r="Y24" i="157"/>
  <c r="D18" i="155" s="1"/>
  <c r="I25" i="157"/>
  <c r="D31" i="155" s="1"/>
  <c r="D15" i="155"/>
  <c r="AD18" i="157"/>
  <c r="AD25" i="157" s="1"/>
  <c r="U18" i="157"/>
  <c r="U25" i="157" s="1"/>
  <c r="D37" i="155" s="1"/>
  <c r="S18" i="157"/>
  <c r="S25" i="157" s="1"/>
  <c r="Y18" i="157"/>
  <c r="M18" i="157"/>
  <c r="W13" i="157"/>
  <c r="T18" i="157"/>
  <c r="R10" i="157"/>
  <c r="V10" i="157"/>
  <c r="D29" i="154"/>
  <c r="AA10" i="157"/>
  <c r="AI10" i="157" s="1"/>
  <c r="R12" i="157"/>
  <c r="V12" i="157" s="1"/>
  <c r="D31" i="154"/>
  <c r="R13" i="157"/>
  <c r="E36" i="157"/>
  <c r="R11" i="157"/>
  <c r="V11" i="157" s="1"/>
  <c r="AA11" i="157"/>
  <c r="D30" i="154" s="1"/>
  <c r="AI22" i="157"/>
  <c r="AA15" i="157"/>
  <c r="AI15" i="157" s="1"/>
  <c r="AI16" i="157"/>
  <c r="V14" i="157"/>
  <c r="R23" i="157"/>
  <c r="V23" i="157" s="1"/>
  <c r="R22" i="157"/>
  <c r="V22" i="157" s="1"/>
  <c r="AI12" i="157"/>
  <c r="V20" i="157"/>
  <c r="AL20" i="157" s="1"/>
  <c r="AL21" i="157" s="1"/>
  <c r="AI14" i="157"/>
  <c r="V16" i="157"/>
  <c r="AJ16" i="157" s="1"/>
  <c r="R24" i="156"/>
  <c r="T24" i="156"/>
  <c r="Q15" i="156"/>
  <c r="T15" i="156"/>
  <c r="G15" i="156"/>
  <c r="O24" i="156"/>
  <c r="V17" i="156"/>
  <c r="V24" i="156" s="1"/>
  <c r="G24" i="156"/>
  <c r="N24" i="156" s="1"/>
  <c r="AK18" i="156"/>
  <c r="AK19" i="156"/>
  <c r="N11" i="156"/>
  <c r="R11" i="156" s="1"/>
  <c r="AK21" i="156"/>
  <c r="Q24" i="156"/>
  <c r="R22" i="156"/>
  <c r="AK22" i="156" s="1"/>
  <c r="AI11" i="156"/>
  <c r="AJ11" i="156" s="1"/>
  <c r="G13" i="153"/>
  <c r="I13" i="153" s="1"/>
  <c r="I14" i="153" s="1"/>
  <c r="AG26" i="150"/>
  <c r="T23" i="150"/>
  <c r="W23" i="150" s="1"/>
  <c r="H26" i="150"/>
  <c r="J26" i="150"/>
  <c r="K26" i="150"/>
  <c r="L26" i="150"/>
  <c r="N26" i="150"/>
  <c r="O26" i="150"/>
  <c r="P26" i="150"/>
  <c r="Q26" i="150"/>
  <c r="S26" i="150"/>
  <c r="U26" i="150"/>
  <c r="X26" i="150"/>
  <c r="Z26" i="150"/>
  <c r="AB26" i="150"/>
  <c r="AC26" i="150"/>
  <c r="AD26" i="150"/>
  <c r="AE26" i="150"/>
  <c r="AF26" i="150"/>
  <c r="AH26" i="150"/>
  <c r="I22" i="150"/>
  <c r="Y22" i="150" s="1"/>
  <c r="B18" i="152" s="1"/>
  <c r="I23" i="150"/>
  <c r="M23" i="150" s="1"/>
  <c r="I24" i="150"/>
  <c r="T24" i="150" s="1"/>
  <c r="W24" i="150" s="1"/>
  <c r="I25" i="150"/>
  <c r="Y25" i="150" s="1"/>
  <c r="G26" i="150"/>
  <c r="E22" i="150"/>
  <c r="B22" i="150"/>
  <c r="B23" i="150" s="1"/>
  <c r="B24" i="150" s="1"/>
  <c r="B25" i="150" s="1"/>
  <c r="F19" i="151"/>
  <c r="G19" i="151" s="1"/>
  <c r="I19" i="151" s="1"/>
  <c r="F20" i="151"/>
  <c r="G20" i="151" s="1"/>
  <c r="I20" i="151" s="1"/>
  <c r="F18" i="151"/>
  <c r="G18" i="151" s="1"/>
  <c r="I18" i="151" s="1"/>
  <c r="F10" i="151"/>
  <c r="G10" i="151" s="1"/>
  <c r="I10" i="151" s="1"/>
  <c r="F11" i="151"/>
  <c r="G11" i="151" s="1"/>
  <c r="I11" i="151" s="1"/>
  <c r="F12" i="151"/>
  <c r="G12" i="151" s="1"/>
  <c r="I12" i="151" s="1"/>
  <c r="F13" i="151"/>
  <c r="G13" i="151" s="1"/>
  <c r="I13" i="151" s="1"/>
  <c r="F14" i="151"/>
  <c r="G14" i="151" s="1"/>
  <c r="I14" i="151" s="1"/>
  <c r="F15" i="151"/>
  <c r="G15" i="151" s="1"/>
  <c r="I15" i="151" s="1"/>
  <c r="F16" i="151"/>
  <c r="G16" i="151" s="1"/>
  <c r="I16" i="151" s="1"/>
  <c r="F17" i="151"/>
  <c r="G17" i="151" s="1"/>
  <c r="I17" i="151" s="1"/>
  <c r="E10" i="151"/>
  <c r="E11" i="151"/>
  <c r="E12" i="151"/>
  <c r="E13" i="151"/>
  <c r="E14" i="151"/>
  <c r="E15" i="151"/>
  <c r="E16" i="151"/>
  <c r="E17" i="151"/>
  <c r="E9" i="151"/>
  <c r="C19" i="151"/>
  <c r="C20" i="151"/>
  <c r="C18" i="151"/>
  <c r="C10" i="151"/>
  <c r="C11" i="151"/>
  <c r="C12" i="151"/>
  <c r="C13" i="151"/>
  <c r="C14" i="151"/>
  <c r="C15" i="151"/>
  <c r="C16" i="151"/>
  <c r="C17" i="151"/>
  <c r="C9" i="151"/>
  <c r="D19" i="151"/>
  <c r="D20" i="151"/>
  <c r="D18" i="151"/>
  <c r="D17" i="151"/>
  <c r="D10" i="151"/>
  <c r="D11" i="151"/>
  <c r="D12" i="151"/>
  <c r="D13" i="151"/>
  <c r="D14" i="151"/>
  <c r="D15" i="151"/>
  <c r="D16" i="151"/>
  <c r="D9" i="151"/>
  <c r="F9" i="151"/>
  <c r="H21" i="151"/>
  <c r="H19" i="150"/>
  <c r="H27" i="150" s="1"/>
  <c r="J19" i="150"/>
  <c r="J27" i="150" s="1"/>
  <c r="K19" i="150"/>
  <c r="L19" i="150"/>
  <c r="N19" i="150"/>
  <c r="O19" i="150"/>
  <c r="P19" i="150"/>
  <c r="P27" i="150" s="1"/>
  <c r="Q19" i="150"/>
  <c r="Z19" i="150"/>
  <c r="AB19" i="150"/>
  <c r="AC19" i="150"/>
  <c r="AE19" i="150"/>
  <c r="AF19" i="150"/>
  <c r="AG19" i="150"/>
  <c r="AG27" i="150" s="1"/>
  <c r="AH19" i="150"/>
  <c r="AH27" i="150" s="1"/>
  <c r="G19" i="150"/>
  <c r="AI17" i="156" l="1"/>
  <c r="W18" i="157"/>
  <c r="AI13" i="157"/>
  <c r="W24" i="157"/>
  <c r="AI21" i="157"/>
  <c r="AI24" i="157" s="1"/>
  <c r="AJ10" i="157"/>
  <c r="D7" i="154" s="1"/>
  <c r="D35" i="154"/>
  <c r="D44" i="154" s="1"/>
  <c r="W25" i="157"/>
  <c r="M25" i="157"/>
  <c r="D32" i="155" s="1"/>
  <c r="V21" i="157"/>
  <c r="R24" i="157"/>
  <c r="R25" i="157" s="1"/>
  <c r="T25" i="157"/>
  <c r="Y25" i="157"/>
  <c r="AA18" i="157"/>
  <c r="AA25" i="157" s="1"/>
  <c r="D9" i="155" s="1"/>
  <c r="V13" i="157"/>
  <c r="R18" i="157"/>
  <c r="AJ15" i="157"/>
  <c r="G27" i="154"/>
  <c r="J27" i="154" s="1"/>
  <c r="AJ14" i="157"/>
  <c r="D36" i="155"/>
  <c r="D21" i="155"/>
  <c r="D17" i="155" s="1"/>
  <c r="AJ12" i="157"/>
  <c r="D9" i="154" s="1"/>
  <c r="AJ22" i="157"/>
  <c r="D18" i="154" s="1"/>
  <c r="AI11" i="157"/>
  <c r="AJ11" i="157" s="1"/>
  <c r="D13" i="154"/>
  <c r="D11" i="154"/>
  <c r="AJ23" i="157"/>
  <c r="D19" i="154" s="1"/>
  <c r="AJ20" i="157"/>
  <c r="AD15" i="156"/>
  <c r="N15" i="156"/>
  <c r="R15" i="156" s="1"/>
  <c r="AK15" i="156" s="1"/>
  <c r="AI24" i="156"/>
  <c r="AJ17" i="156"/>
  <c r="AJ24" i="156" s="1"/>
  <c r="AI15" i="156"/>
  <c r="AJ15" i="156" s="1"/>
  <c r="AK11" i="156"/>
  <c r="AK17" i="156"/>
  <c r="AK24" i="156" s="1"/>
  <c r="AE27" i="150"/>
  <c r="AB27" i="150"/>
  <c r="O27" i="150"/>
  <c r="M24" i="150"/>
  <c r="R24" i="150" s="1"/>
  <c r="V24" i="150" s="1"/>
  <c r="G14" i="153"/>
  <c r="Z27" i="150"/>
  <c r="AF27" i="150"/>
  <c r="AC27" i="150"/>
  <c r="K27" i="150"/>
  <c r="M25" i="150"/>
  <c r="AA25" i="150" s="1"/>
  <c r="R25" i="150"/>
  <c r="V25" i="150" s="1"/>
  <c r="T25" i="150"/>
  <c r="W25" i="150" s="1"/>
  <c r="R23" i="150"/>
  <c r="V23" i="150" s="1"/>
  <c r="Q27" i="150"/>
  <c r="M22" i="150"/>
  <c r="AA22" i="150" s="1"/>
  <c r="T22" i="150"/>
  <c r="N27" i="150"/>
  <c r="F21" i="151"/>
  <c r="G9" i="151"/>
  <c r="G21" i="151" s="1"/>
  <c r="V18" i="157" l="1"/>
  <c r="AJ13" i="157"/>
  <c r="D10" i="154" s="1"/>
  <c r="AI25" i="150"/>
  <c r="V24" i="157"/>
  <c r="AJ21" i="157"/>
  <c r="AI18" i="157"/>
  <c r="AI25" i="157" s="1"/>
  <c r="J28" i="154"/>
  <c r="D8" i="154"/>
  <c r="D16" i="154"/>
  <c r="D35" i="155"/>
  <c r="D42" i="155" s="1"/>
  <c r="D20" i="155"/>
  <c r="D12" i="154"/>
  <c r="AJ25" i="150"/>
  <c r="R22" i="150"/>
  <c r="V22" i="150" s="1"/>
  <c r="B16" i="152"/>
  <c r="W22" i="150"/>
  <c r="AI22" i="150" s="1"/>
  <c r="W18" i="150"/>
  <c r="X18" i="150"/>
  <c r="AJ18" i="157" l="1"/>
  <c r="V25" i="157"/>
  <c r="E27" i="157" s="1"/>
  <c r="D14" i="154"/>
  <c r="D17" i="154"/>
  <c r="D20" i="154" s="1"/>
  <c r="AJ24" i="157"/>
  <c r="AJ22" i="150"/>
  <c r="Y18" i="150"/>
  <c r="AI18" i="150" s="1"/>
  <c r="B11" i="151"/>
  <c r="B12" i="151" s="1"/>
  <c r="B13" i="151" s="1"/>
  <c r="B14" i="151" s="1"/>
  <c r="B15" i="151" s="1"/>
  <c r="B16" i="151" s="1"/>
  <c r="B17" i="151" s="1"/>
  <c r="B18" i="151" s="1"/>
  <c r="B19" i="151" s="1"/>
  <c r="B20" i="151" s="1"/>
  <c r="I9" i="151"/>
  <c r="B10" i="151"/>
  <c r="H531" i="81"/>
  <c r="H532" i="81"/>
  <c r="H533" i="81"/>
  <c r="H530" i="81"/>
  <c r="H524" i="81"/>
  <c r="H525" i="81"/>
  <c r="H526" i="81"/>
  <c r="H527" i="81"/>
  <c r="H528" i="81"/>
  <c r="H529" i="81"/>
  <c r="F531" i="81"/>
  <c r="F532" i="81"/>
  <c r="F533" i="81"/>
  <c r="F530" i="81"/>
  <c r="F524" i="81"/>
  <c r="F525" i="81"/>
  <c r="F526" i="81"/>
  <c r="F527" i="81"/>
  <c r="F528" i="81"/>
  <c r="F529" i="81"/>
  <c r="C531" i="81"/>
  <c r="C532" i="81"/>
  <c r="C533" i="81"/>
  <c r="C530" i="81"/>
  <c r="C529" i="81"/>
  <c r="C524" i="81"/>
  <c r="C525" i="81"/>
  <c r="C526" i="81"/>
  <c r="C527" i="81"/>
  <c r="C528" i="81"/>
  <c r="G515" i="81"/>
  <c r="G516" i="81"/>
  <c r="G517" i="81"/>
  <c r="G514" i="81"/>
  <c r="G508" i="81"/>
  <c r="G509" i="81"/>
  <c r="G510" i="81"/>
  <c r="G511" i="81"/>
  <c r="G512" i="81"/>
  <c r="G513" i="81"/>
  <c r="D515" i="81"/>
  <c r="D516" i="81"/>
  <c r="D517" i="81"/>
  <c r="D514" i="81"/>
  <c r="D508" i="81"/>
  <c r="D509" i="81"/>
  <c r="D510" i="81"/>
  <c r="D511" i="81"/>
  <c r="D512" i="81"/>
  <c r="D513" i="81"/>
  <c r="C172" i="81"/>
  <c r="I13" i="150"/>
  <c r="Y13" i="150" s="1"/>
  <c r="E442" i="81"/>
  <c r="E441" i="81"/>
  <c r="H236" i="81"/>
  <c r="E9" i="8"/>
  <c r="E10" i="8"/>
  <c r="E11" i="8"/>
  <c r="E12" i="8"/>
  <c r="E13" i="8"/>
  <c r="E14" i="8"/>
  <c r="E15" i="8"/>
  <c r="E18" i="151"/>
  <c r="E19" i="151"/>
  <c r="E20" i="151"/>
  <c r="C173" i="81"/>
  <c r="AJ25" i="157" l="1"/>
  <c r="AI27" i="157" s="1"/>
  <c r="D21" i="154"/>
  <c r="AJ18" i="150"/>
  <c r="I21" i="151"/>
  <c r="T13" i="150"/>
  <c r="M13" i="150"/>
  <c r="R13" i="150" s="1"/>
  <c r="V13" i="150" s="1"/>
  <c r="F50" i="8"/>
  <c r="F51" i="8"/>
  <c r="F52" i="8"/>
  <c r="F53" i="8"/>
  <c r="F54" i="8"/>
  <c r="F55" i="8"/>
  <c r="F56" i="8"/>
  <c r="E50" i="8"/>
  <c r="E51" i="8"/>
  <c r="E52" i="8"/>
  <c r="E53" i="8"/>
  <c r="E54" i="8"/>
  <c r="E55" i="8"/>
  <c r="E56" i="8"/>
  <c r="D58" i="8"/>
  <c r="D59" i="8"/>
  <c r="D60" i="8"/>
  <c r="D50" i="8"/>
  <c r="D51" i="8"/>
  <c r="D52" i="8"/>
  <c r="D53" i="8"/>
  <c r="D54" i="8"/>
  <c r="D55" i="8"/>
  <c r="D56" i="8"/>
  <c r="C58" i="8"/>
  <c r="C59" i="8"/>
  <c r="C60" i="8"/>
  <c r="C57" i="8"/>
  <c r="C50" i="8"/>
  <c r="C51" i="8"/>
  <c r="C52" i="8"/>
  <c r="C53" i="8"/>
  <c r="C54" i="8"/>
  <c r="C55" i="8"/>
  <c r="C56" i="8"/>
  <c r="D9" i="8"/>
  <c r="D10" i="8"/>
  <c r="D11" i="8"/>
  <c r="D12" i="8"/>
  <c r="D13" i="8"/>
  <c r="C490" i="81"/>
  <c r="B489" i="81"/>
  <c r="E482" i="81"/>
  <c r="D8" i="155" l="1"/>
  <c r="D28" i="155" s="1"/>
  <c r="E28" i="155" s="1"/>
  <c r="AJ26" i="157"/>
  <c r="W13" i="150"/>
  <c r="AI13" i="150" s="1"/>
  <c r="AJ13" i="150" s="1"/>
  <c r="H509" i="81" s="1"/>
  <c r="E277" i="81"/>
  <c r="E276" i="81"/>
  <c r="B463" i="81"/>
  <c r="H465" i="81"/>
  <c r="J490" i="81"/>
  <c r="B500" i="81"/>
  <c r="B501" i="81" s="1"/>
  <c r="I15" i="150"/>
  <c r="D472" i="81"/>
  <c r="E42" i="155" l="1"/>
  <c r="G54" i="8"/>
  <c r="X15" i="150"/>
  <c r="G55" i="8"/>
  <c r="M15" i="150"/>
  <c r="R15" i="150" s="1"/>
  <c r="AD15" i="150"/>
  <c r="AD19" i="150" s="1"/>
  <c r="AD27" i="150" s="1"/>
  <c r="S15" i="150"/>
  <c r="W15" i="150" s="1"/>
  <c r="Y15" i="150"/>
  <c r="I55" i="8" s="1"/>
  <c r="U15" i="150"/>
  <c r="F11" i="8"/>
  <c r="F10" i="8"/>
  <c r="C10" i="8"/>
  <c r="B9" i="8"/>
  <c r="B10" i="8" s="1"/>
  <c r="B11" i="8" s="1"/>
  <c r="B12" i="8" s="1"/>
  <c r="B13" i="8" s="1"/>
  <c r="B14" i="8" s="1"/>
  <c r="B15" i="8" s="1"/>
  <c r="B50" i="8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G89" i="8"/>
  <c r="F89" i="8"/>
  <c r="E89" i="8"/>
  <c r="D89" i="8"/>
  <c r="C89" i="8"/>
  <c r="B90" i="8"/>
  <c r="B91" i="8" s="1"/>
  <c r="B92" i="8" s="1"/>
  <c r="G126" i="8"/>
  <c r="G123" i="8"/>
  <c r="F123" i="8"/>
  <c r="E123" i="8"/>
  <c r="D123" i="8"/>
  <c r="C123" i="8"/>
  <c r="B124" i="8"/>
  <c r="B125" i="8" s="1"/>
  <c r="B126" i="8" s="1"/>
  <c r="G233" i="8"/>
  <c r="F233" i="8"/>
  <c r="E233" i="8"/>
  <c r="D233" i="8"/>
  <c r="D234" i="8"/>
  <c r="D235" i="8"/>
  <c r="D236" i="8"/>
  <c r="D237" i="8"/>
  <c r="D238" i="8"/>
  <c r="C233" i="8"/>
  <c r="C234" i="8"/>
  <c r="C235" i="8"/>
  <c r="C236" i="8"/>
  <c r="C237" i="8"/>
  <c r="C238" i="8"/>
  <c r="B233" i="8"/>
  <c r="B234" i="8" s="1"/>
  <c r="B235" i="8" s="1"/>
  <c r="B236" i="8" s="1"/>
  <c r="B237" i="8" s="1"/>
  <c r="B238" i="8" s="1"/>
  <c r="I285" i="8"/>
  <c r="G285" i="8"/>
  <c r="F285" i="8"/>
  <c r="E285" i="8"/>
  <c r="E286" i="8"/>
  <c r="D285" i="8"/>
  <c r="D286" i="8"/>
  <c r="C285" i="8"/>
  <c r="I14" i="150"/>
  <c r="B11" i="150"/>
  <c r="B12" i="150" s="1"/>
  <c r="B13" i="150" s="1"/>
  <c r="B14" i="150" s="1"/>
  <c r="B15" i="150" s="1"/>
  <c r="B16" i="150" s="1"/>
  <c r="B17" i="150" s="1"/>
  <c r="B18" i="150" s="1"/>
  <c r="B525" i="81"/>
  <c r="B526" i="81" s="1"/>
  <c r="B527" i="81" s="1"/>
  <c r="B528" i="81" s="1"/>
  <c r="B529" i="81" s="1"/>
  <c r="B530" i="81" s="1"/>
  <c r="B531" i="81" s="1"/>
  <c r="B532" i="81" s="1"/>
  <c r="B533" i="81" s="1"/>
  <c r="B508" i="81"/>
  <c r="B509" i="81" s="1"/>
  <c r="B510" i="81" s="1"/>
  <c r="B511" i="81" s="1"/>
  <c r="B512" i="81" s="1"/>
  <c r="B513" i="81" s="1"/>
  <c r="B514" i="81" s="1"/>
  <c r="B515" i="81" s="1"/>
  <c r="B516" i="81" s="1"/>
  <c r="B517" i="81" s="1"/>
  <c r="G281" i="8"/>
  <c r="G282" i="8"/>
  <c r="G283" i="8"/>
  <c r="F281" i="8"/>
  <c r="F282" i="8"/>
  <c r="E281" i="8"/>
  <c r="E282" i="8"/>
  <c r="D281" i="8"/>
  <c r="D282" i="8"/>
  <c r="B281" i="8"/>
  <c r="B282" i="8" s="1"/>
  <c r="B283" i="8" s="1"/>
  <c r="B284" i="8" s="1"/>
  <c r="B285" i="8" s="1"/>
  <c r="B286" i="8" s="1"/>
  <c r="B287" i="8" s="1"/>
  <c r="B288" i="8" s="1"/>
  <c r="B289" i="8" s="1"/>
  <c r="B290" i="8" s="1"/>
  <c r="B291" i="8" s="1"/>
  <c r="I11" i="150"/>
  <c r="G284" i="8"/>
  <c r="G286" i="8"/>
  <c r="F283" i="8"/>
  <c r="F284" i="8"/>
  <c r="F286" i="8"/>
  <c r="E283" i="8"/>
  <c r="E284" i="8"/>
  <c r="E287" i="8"/>
  <c r="E288" i="8"/>
  <c r="E289" i="8"/>
  <c r="D284" i="8"/>
  <c r="D287" i="8"/>
  <c r="C286" i="8"/>
  <c r="G237" i="8"/>
  <c r="F237" i="8"/>
  <c r="E237" i="8"/>
  <c r="G236" i="8"/>
  <c r="F236" i="8"/>
  <c r="E236" i="8"/>
  <c r="F92" i="8"/>
  <c r="E92" i="8"/>
  <c r="D92" i="8"/>
  <c r="C92" i="8"/>
  <c r="L27" i="150"/>
  <c r="J489" i="81"/>
  <c r="I12" i="150"/>
  <c r="M12" i="150" s="1"/>
  <c r="B200" i="81"/>
  <c r="F124" i="8"/>
  <c r="F90" i="8"/>
  <c r="I335" i="8"/>
  <c r="G335" i="8"/>
  <c r="F335" i="8"/>
  <c r="E335" i="8"/>
  <c r="D335" i="8"/>
  <c r="C335" i="8"/>
  <c r="I334" i="8"/>
  <c r="G334" i="8"/>
  <c r="F334" i="8"/>
  <c r="E334" i="8"/>
  <c r="D334" i="8"/>
  <c r="C334" i="8"/>
  <c r="G331" i="8"/>
  <c r="G291" i="8"/>
  <c r="G290" i="8"/>
  <c r="G289" i="8"/>
  <c r="G288" i="8"/>
  <c r="G287" i="8"/>
  <c r="G280" i="8"/>
  <c r="F291" i="8"/>
  <c r="F290" i="8"/>
  <c r="F289" i="8"/>
  <c r="F288" i="8"/>
  <c r="F287" i="8"/>
  <c r="F280" i="8"/>
  <c r="E291" i="8"/>
  <c r="E290" i="8"/>
  <c r="E280" i="8"/>
  <c r="D291" i="8"/>
  <c r="D290" i="8"/>
  <c r="D289" i="8"/>
  <c r="D288" i="8"/>
  <c r="D283" i="8"/>
  <c r="D280" i="8"/>
  <c r="C291" i="8"/>
  <c r="C290" i="8"/>
  <c r="C289" i="8"/>
  <c r="C288" i="8"/>
  <c r="C287" i="8"/>
  <c r="C284" i="8"/>
  <c r="C283" i="8"/>
  <c r="C282" i="8"/>
  <c r="C280" i="8"/>
  <c r="G277" i="8"/>
  <c r="H219" i="81"/>
  <c r="G235" i="8"/>
  <c r="G234" i="8"/>
  <c r="G232" i="8"/>
  <c r="G124" i="8"/>
  <c r="D124" i="8"/>
  <c r="C124" i="8"/>
  <c r="G91" i="8"/>
  <c r="G90" i="8"/>
  <c r="D90" i="8"/>
  <c r="C90" i="8"/>
  <c r="G9" i="8"/>
  <c r="G8" i="8"/>
  <c r="C9" i="8"/>
  <c r="H523" i="81"/>
  <c r="I10" i="150"/>
  <c r="D424" i="81"/>
  <c r="B394" i="81"/>
  <c r="B377" i="81"/>
  <c r="B355" i="81"/>
  <c r="B324" i="81"/>
  <c r="B307" i="81"/>
  <c r="B262" i="81"/>
  <c r="B283" i="81" s="1"/>
  <c r="B238" i="81"/>
  <c r="B171" i="81"/>
  <c r="E191" i="81" s="1"/>
  <c r="D215" i="81" s="1"/>
  <c r="E6" i="81"/>
  <c r="E7" i="81"/>
  <c r="B13" i="81"/>
  <c r="I26" i="81"/>
  <c r="E30" i="81"/>
  <c r="E31" i="81"/>
  <c r="B36" i="81"/>
  <c r="B44" i="81"/>
  <c r="I47" i="81"/>
  <c r="E51" i="81"/>
  <c r="E52" i="81"/>
  <c r="C58" i="81"/>
  <c r="B66" i="81"/>
  <c r="B89" i="81" s="1"/>
  <c r="I70" i="81"/>
  <c r="E74" i="81"/>
  <c r="E75" i="81"/>
  <c r="B81" i="81"/>
  <c r="I91" i="81"/>
  <c r="E95" i="81"/>
  <c r="E96" i="81"/>
  <c r="B102" i="81"/>
  <c r="B110" i="81"/>
  <c r="B134" i="81" s="1"/>
  <c r="I115" i="81"/>
  <c r="E119" i="81"/>
  <c r="E120" i="81"/>
  <c r="B126" i="81"/>
  <c r="I136" i="81"/>
  <c r="E140" i="81"/>
  <c r="B155" i="81"/>
  <c r="I160" i="81"/>
  <c r="E164" i="81"/>
  <c r="E165" i="81"/>
  <c r="I181" i="81"/>
  <c r="I205" i="81" s="1"/>
  <c r="E185" i="81"/>
  <c r="E209" i="81" s="1"/>
  <c r="E186" i="81"/>
  <c r="E210" i="81" s="1"/>
  <c r="I227" i="81"/>
  <c r="E231" i="81"/>
  <c r="E232" i="81"/>
  <c r="H241" i="81"/>
  <c r="I251" i="81"/>
  <c r="I272" i="81" s="1"/>
  <c r="E255" i="81"/>
  <c r="E256" i="81"/>
  <c r="I295" i="81"/>
  <c r="E299" i="81"/>
  <c r="E300" i="81"/>
  <c r="I319" i="81"/>
  <c r="E329" i="81"/>
  <c r="E330" i="81"/>
  <c r="I343" i="81"/>
  <c r="E347" i="81"/>
  <c r="E348" i="81"/>
  <c r="I366" i="81"/>
  <c r="E370" i="81"/>
  <c r="E371" i="81"/>
  <c r="B385" i="81"/>
  <c r="I389" i="81"/>
  <c r="D400" i="81"/>
  <c r="F400" i="81"/>
  <c r="D401" i="81"/>
  <c r="F401" i="81"/>
  <c r="I412" i="81"/>
  <c r="E416" i="81"/>
  <c r="E417" i="81"/>
  <c r="I437" i="81"/>
  <c r="I458" i="81" s="1"/>
  <c r="I478" i="81" s="1"/>
  <c r="B455" i="81"/>
  <c r="B476" i="81" s="1"/>
  <c r="B496" i="81" s="1"/>
  <c r="J493" i="81"/>
  <c r="C500" i="81"/>
  <c r="E500" i="81"/>
  <c r="G500" i="81"/>
  <c r="I500" i="81" s="1"/>
  <c r="J500" i="81" s="1"/>
  <c r="C501" i="81"/>
  <c r="E501" i="81"/>
  <c r="G505" i="81"/>
  <c r="D507" i="81"/>
  <c r="G507" i="81"/>
  <c r="F521" i="81"/>
  <c r="C523" i="81"/>
  <c r="F523" i="81"/>
  <c r="G5" i="8"/>
  <c r="C8" i="8"/>
  <c r="D8" i="8"/>
  <c r="E8" i="8"/>
  <c r="F8" i="8"/>
  <c r="F9" i="8"/>
  <c r="C11" i="8"/>
  <c r="C12" i="8"/>
  <c r="F12" i="8"/>
  <c r="C13" i="8"/>
  <c r="F13" i="8"/>
  <c r="C14" i="8"/>
  <c r="D14" i="8"/>
  <c r="F14" i="8"/>
  <c r="C15" i="8"/>
  <c r="D15" i="8"/>
  <c r="F15" i="8"/>
  <c r="H44" i="8"/>
  <c r="G46" i="8"/>
  <c r="C49" i="8"/>
  <c r="D49" i="8"/>
  <c r="E49" i="8"/>
  <c r="F49" i="8"/>
  <c r="D57" i="8"/>
  <c r="E57" i="8"/>
  <c r="F57" i="8"/>
  <c r="E58" i="8"/>
  <c r="F58" i="8"/>
  <c r="E59" i="8"/>
  <c r="F59" i="8"/>
  <c r="E60" i="8"/>
  <c r="F60" i="8"/>
  <c r="H82" i="8"/>
  <c r="G84" i="8"/>
  <c r="D88" i="8"/>
  <c r="E88" i="8"/>
  <c r="F88" i="8"/>
  <c r="H88" i="8"/>
  <c r="E90" i="8"/>
  <c r="C91" i="8"/>
  <c r="D91" i="8"/>
  <c r="E91" i="8"/>
  <c r="F91" i="8"/>
  <c r="H117" i="8"/>
  <c r="G119" i="8"/>
  <c r="E124" i="8"/>
  <c r="C125" i="8"/>
  <c r="D125" i="8"/>
  <c r="E125" i="8"/>
  <c r="F125" i="8"/>
  <c r="F126" i="8" s="1"/>
  <c r="H166" i="8"/>
  <c r="F169" i="8"/>
  <c r="D173" i="8"/>
  <c r="E173" i="8"/>
  <c r="H173" i="8"/>
  <c r="I173" i="8"/>
  <c r="H225" i="8"/>
  <c r="F228" i="8"/>
  <c r="C232" i="8"/>
  <c r="D232" i="8"/>
  <c r="E232" i="8"/>
  <c r="F232" i="8"/>
  <c r="E234" i="8"/>
  <c r="F234" i="8"/>
  <c r="E235" i="8"/>
  <c r="F235" i="8"/>
  <c r="E238" i="8"/>
  <c r="F238" i="8"/>
  <c r="G238" i="8"/>
  <c r="I16" i="150"/>
  <c r="G11" i="8" s="1"/>
  <c r="I21" i="150"/>
  <c r="I14" i="8"/>
  <c r="I282" i="8"/>
  <c r="Y16" i="150"/>
  <c r="I289" i="8"/>
  <c r="J488" i="81"/>
  <c r="G92" i="8"/>
  <c r="D242" i="81"/>
  <c r="T21" i="150" l="1"/>
  <c r="I26" i="150"/>
  <c r="I19" i="150"/>
  <c r="C174" i="81"/>
  <c r="V15" i="150"/>
  <c r="M10" i="150"/>
  <c r="G49" i="8"/>
  <c r="X12" i="150"/>
  <c r="Y12" i="150"/>
  <c r="I52" i="8" s="1"/>
  <c r="M14" i="150"/>
  <c r="Y14" i="150"/>
  <c r="I53" i="8" s="1"/>
  <c r="I56" i="8"/>
  <c r="W21" i="150"/>
  <c r="G51" i="8"/>
  <c r="I8" i="8"/>
  <c r="J8" i="8" s="1"/>
  <c r="U10" i="150"/>
  <c r="X10" i="150"/>
  <c r="Y10" i="150"/>
  <c r="S10" i="150"/>
  <c r="M16" i="150"/>
  <c r="AA16" i="150" s="1"/>
  <c r="G56" i="8"/>
  <c r="I336" i="8"/>
  <c r="Y11" i="150"/>
  <c r="G50" i="8"/>
  <c r="I288" i="8"/>
  <c r="T14" i="150"/>
  <c r="G53" i="8"/>
  <c r="R12" i="150"/>
  <c r="G52" i="8"/>
  <c r="I54" i="8"/>
  <c r="G13" i="8"/>
  <c r="I283" i="8"/>
  <c r="M21" i="150"/>
  <c r="G10" i="8"/>
  <c r="G16" i="8" s="1"/>
  <c r="G58" i="8"/>
  <c r="I287" i="8"/>
  <c r="Y21" i="150"/>
  <c r="H56" i="81"/>
  <c r="H61" i="81" s="1"/>
  <c r="B4" i="152" s="1"/>
  <c r="M11" i="150"/>
  <c r="T16" i="150"/>
  <c r="W16" i="150" s="1"/>
  <c r="G12" i="8"/>
  <c r="I290" i="8"/>
  <c r="G57" i="8"/>
  <c r="Y24" i="150"/>
  <c r="Y23" i="150"/>
  <c r="G14" i="8"/>
  <c r="J14" i="8" s="1"/>
  <c r="G59" i="8"/>
  <c r="G27" i="150"/>
  <c r="U11" i="150"/>
  <c r="U12" i="150"/>
  <c r="I91" i="8" s="1"/>
  <c r="J91" i="8" s="1"/>
  <c r="G125" i="8"/>
  <c r="I284" i="8"/>
  <c r="S12" i="150"/>
  <c r="AI15" i="150"/>
  <c r="J88" i="8"/>
  <c r="H79" i="81"/>
  <c r="H84" i="81" s="1"/>
  <c r="B5" i="152" s="1"/>
  <c r="H190" i="81"/>
  <c r="H195" i="81" s="1"/>
  <c r="B9" i="152" s="1"/>
  <c r="J492" i="81"/>
  <c r="G15" i="8"/>
  <c r="I291" i="8"/>
  <c r="G60" i="8"/>
  <c r="H535" i="81"/>
  <c r="G239" i="8"/>
  <c r="S11" i="150"/>
  <c r="X11" i="150"/>
  <c r="X19" i="150" s="1"/>
  <c r="X27" i="150" s="1"/>
  <c r="J491" i="81"/>
  <c r="B537" i="81"/>
  <c r="D196" i="81"/>
  <c r="D62" i="81"/>
  <c r="D85" i="81"/>
  <c r="Y19" i="150" l="1"/>
  <c r="I59" i="8"/>
  <c r="AI23" i="150"/>
  <c r="AJ23" i="150" s="1"/>
  <c r="I58" i="8"/>
  <c r="Y26" i="150"/>
  <c r="Y27" i="150" s="1"/>
  <c r="R21" i="150"/>
  <c r="V21" i="150" s="1"/>
  <c r="M26" i="150"/>
  <c r="I13" i="8"/>
  <c r="J13" i="8" s="1"/>
  <c r="T26" i="150"/>
  <c r="I60" i="8"/>
  <c r="J60" i="8" s="1"/>
  <c r="S19" i="150"/>
  <c r="S27" i="150" s="1"/>
  <c r="I27" i="150"/>
  <c r="H353" i="81"/>
  <c r="T19" i="150"/>
  <c r="R11" i="150"/>
  <c r="V11" i="150" s="1"/>
  <c r="M19" i="150"/>
  <c r="U19" i="150"/>
  <c r="U27" i="150" s="1"/>
  <c r="V12" i="150"/>
  <c r="I10" i="8"/>
  <c r="W10" i="150"/>
  <c r="AI10" i="150" s="1"/>
  <c r="R10" i="150"/>
  <c r="R14" i="150"/>
  <c r="V14" i="150" s="1"/>
  <c r="AA14" i="150"/>
  <c r="AA19" i="150" s="1"/>
  <c r="H100" i="81"/>
  <c r="H105" i="81" s="1"/>
  <c r="B6" i="152"/>
  <c r="H124" i="81"/>
  <c r="H129" i="81" s="1"/>
  <c r="B7" i="152"/>
  <c r="J56" i="8"/>
  <c r="R16" i="150"/>
  <c r="W14" i="150"/>
  <c r="H422" i="81"/>
  <c r="I57" i="8"/>
  <c r="J57" i="8" s="1"/>
  <c r="H487" i="81"/>
  <c r="H492" i="81" s="1"/>
  <c r="H447" i="81"/>
  <c r="H452" i="81" s="1"/>
  <c r="I50" i="8"/>
  <c r="H260" i="81"/>
  <c r="H265" i="81" s="1"/>
  <c r="I49" i="8"/>
  <c r="J49" i="8" s="1"/>
  <c r="H281" i="81"/>
  <c r="I51" i="8"/>
  <c r="J51" i="8" s="1"/>
  <c r="I12" i="8"/>
  <c r="I20" i="8" s="1"/>
  <c r="H375" i="81"/>
  <c r="AJ15" i="150"/>
  <c r="H512" i="81" s="1"/>
  <c r="J58" i="8"/>
  <c r="I9" i="8"/>
  <c r="J9" i="8" s="1"/>
  <c r="J239" i="8"/>
  <c r="I280" i="8"/>
  <c r="I296" i="8" s="1"/>
  <c r="J336" i="8"/>
  <c r="AI21" i="150"/>
  <c r="J53" i="8"/>
  <c r="J59" i="8"/>
  <c r="I89" i="8"/>
  <c r="I123" i="8"/>
  <c r="I11" i="8"/>
  <c r="J11" i="8" s="1"/>
  <c r="I295" i="8"/>
  <c r="I124" i="8"/>
  <c r="J124" i="8" s="1"/>
  <c r="I90" i="8"/>
  <c r="J90" i="8" s="1"/>
  <c r="W12" i="150"/>
  <c r="AI12" i="150" s="1"/>
  <c r="I125" i="8"/>
  <c r="J125" i="8" s="1"/>
  <c r="I286" i="8"/>
  <c r="J482" i="81"/>
  <c r="I92" i="8"/>
  <c r="I126" i="8"/>
  <c r="J52" i="8"/>
  <c r="I535" i="81"/>
  <c r="I281" i="8"/>
  <c r="W26" i="150"/>
  <c r="I15" i="8"/>
  <c r="AA24" i="150"/>
  <c r="AA26" i="150" s="1"/>
  <c r="G503" i="81"/>
  <c r="W11" i="150"/>
  <c r="D106" i="81"/>
  <c r="D493" i="81"/>
  <c r="D130" i="81"/>
  <c r="D266" i="81"/>
  <c r="AJ21" i="150" l="1"/>
  <c r="H515" i="81"/>
  <c r="AI24" i="150"/>
  <c r="AJ24" i="150" s="1"/>
  <c r="AJ26" i="150" s="1"/>
  <c r="H516" i="81"/>
  <c r="R26" i="150"/>
  <c r="V26" i="150"/>
  <c r="M27" i="150"/>
  <c r="T27" i="150"/>
  <c r="W19" i="150"/>
  <c r="V16" i="150"/>
  <c r="R19" i="150"/>
  <c r="V10" i="150"/>
  <c r="H305" i="81"/>
  <c r="H311" i="81" s="1"/>
  <c r="B12" i="152"/>
  <c r="B13" i="152" s="1"/>
  <c r="B14" i="152" s="1"/>
  <c r="B17" i="152" s="1"/>
  <c r="AI14" i="150"/>
  <c r="H322" i="81"/>
  <c r="H327" i="81" s="1"/>
  <c r="AJ14" i="150"/>
  <c r="H511" i="81" s="1"/>
  <c r="H286" i="81"/>
  <c r="J12" i="8"/>
  <c r="H514" i="81"/>
  <c r="H169" i="81"/>
  <c r="H174" i="81" s="1"/>
  <c r="I93" i="8"/>
  <c r="J93" i="8" s="1"/>
  <c r="AI16" i="150"/>
  <c r="H358" i="81"/>
  <c r="I19" i="8"/>
  <c r="AJ12" i="150"/>
  <c r="H510" i="81" s="1"/>
  <c r="I127" i="8"/>
  <c r="J127" i="8" s="1"/>
  <c r="I61" i="8"/>
  <c r="I292" i="8"/>
  <c r="I297" i="8"/>
  <c r="I16" i="8"/>
  <c r="J15" i="8"/>
  <c r="I501" i="81"/>
  <c r="AA27" i="150"/>
  <c r="M32" i="150" s="1"/>
  <c r="AI11" i="150"/>
  <c r="AI19" i="150" s="1"/>
  <c r="D287" i="81"/>
  <c r="D381" i="81"/>
  <c r="D334" i="81"/>
  <c r="D359" i="81"/>
  <c r="D175" i="81"/>
  <c r="D312" i="81"/>
  <c r="H392" i="81" l="1"/>
  <c r="H398" i="81" s="1"/>
  <c r="B15" i="152"/>
  <c r="AI26" i="150"/>
  <c r="AI27" i="150" s="1"/>
  <c r="R27" i="150"/>
  <c r="H139" i="81" s="1"/>
  <c r="V19" i="150"/>
  <c r="V27" i="150" s="1"/>
  <c r="E29" i="150" s="1"/>
  <c r="W27" i="150"/>
  <c r="J353" i="81" s="1"/>
  <c r="AJ16" i="150"/>
  <c r="AJ10" i="150"/>
  <c r="H507" i="81" s="1"/>
  <c r="E5" i="152"/>
  <c r="J61" i="8"/>
  <c r="J380" i="81"/>
  <c r="J177" i="81"/>
  <c r="B8" i="152"/>
  <c r="I21" i="8"/>
  <c r="J292" i="8"/>
  <c r="AJ11" i="150"/>
  <c r="I299" i="8"/>
  <c r="J501" i="81"/>
  <c r="J503" i="81" s="1"/>
  <c r="I503" i="81"/>
  <c r="J16" i="8"/>
  <c r="H427" i="81"/>
  <c r="D428" i="81"/>
  <c r="D405" i="81"/>
  <c r="F29" i="150"/>
  <c r="H517" i="81" l="1"/>
  <c r="H513" i="81"/>
  <c r="AJ19" i="150"/>
  <c r="AJ27" i="150" s="1"/>
  <c r="M33" i="150" s="1"/>
  <c r="M34" i="150" s="1"/>
  <c r="H34" i="81"/>
  <c r="H39" i="81" s="1"/>
  <c r="B3" i="152"/>
  <c r="H508" i="81"/>
  <c r="J504" i="81"/>
  <c r="D40" i="81"/>
  <c r="H519" i="81" l="1"/>
  <c r="H11" i="81"/>
  <c r="H16" i="81" s="1"/>
  <c r="H144" i="81"/>
  <c r="E19" i="152" s="1"/>
  <c r="D151" i="81"/>
  <c r="D17" i="81"/>
  <c r="B2" i="152" l="1"/>
  <c r="B19" i="152" l="1"/>
  <c r="F19" i="152" s="1"/>
</calcChain>
</file>

<file path=xl/sharedStrings.xml><?xml version="1.0" encoding="utf-8"?>
<sst xmlns="http://schemas.openxmlformats.org/spreadsheetml/2006/main" count="1185" uniqueCount="501">
  <si>
    <t>Total Deduction</t>
  </si>
  <si>
    <t>Officer</t>
  </si>
  <si>
    <t>Deduction</t>
  </si>
  <si>
    <t>AGM</t>
  </si>
  <si>
    <t>AMOUNT</t>
  </si>
  <si>
    <t>TK.</t>
  </si>
  <si>
    <t xml:space="preserve"> </t>
  </si>
  <si>
    <t>PO</t>
  </si>
  <si>
    <t>Sr. Officer</t>
  </si>
  <si>
    <t>BSB</t>
  </si>
  <si>
    <t>The Deputy General Manager</t>
  </si>
  <si>
    <t>53100-31</t>
  </si>
  <si>
    <t>20750-49</t>
  </si>
  <si>
    <t>20750-50</t>
  </si>
  <si>
    <t>53100-25</t>
  </si>
  <si>
    <t>20750-43</t>
  </si>
  <si>
    <t>53100-06</t>
  </si>
  <si>
    <t>20750-45</t>
  </si>
  <si>
    <t>Bangladesh Development Bank Ltd.</t>
  </si>
  <si>
    <t>Designation</t>
  </si>
  <si>
    <t>Total</t>
  </si>
  <si>
    <t>BANGLADESH DEVELOPMENT BANK LTD</t>
  </si>
  <si>
    <t>BRANCH OFFICE, RANGPUR.</t>
  </si>
  <si>
    <t xml:space="preserve">Pay Sheet for the month of </t>
  </si>
  <si>
    <t xml:space="preserve">Sl. 
No. </t>
  </si>
  <si>
    <t>Name</t>
  </si>
  <si>
    <t>Basic Salary as per NPS 2015</t>
  </si>
  <si>
    <t>Total
Substantive
Pay</t>
  </si>
  <si>
    <t>Dearness allowance</t>
  </si>
  <si>
    <t>Summptuary allowance</t>
  </si>
  <si>
    <t>Children education Allowance</t>
  </si>
  <si>
    <t>House 
Rent
Allowance</t>
  </si>
  <si>
    <t>Medical
Allowance</t>
  </si>
  <si>
    <t>Convence 
Allowance</t>
  </si>
  <si>
    <t>Washing Allowance</t>
  </si>
  <si>
    <t>Mobile Allowance</t>
  </si>
  <si>
    <t>Total
Salary &amp;
Allowance</t>
  </si>
  <si>
    <t>BANK'S Contribution</t>
  </si>
  <si>
    <t>Total
Paid by
Bank</t>
  </si>
  <si>
    <t>Net Paid by Banks</t>
  </si>
  <si>
    <t>Pension/Gratuity</t>
  </si>
  <si>
    <t>Provident Fund</t>
  </si>
  <si>
    <t>Staff Loan</t>
  </si>
  <si>
    <t>Others</t>
  </si>
  <si>
    <t>Gratuity 10%</t>
  </si>
  <si>
    <t>P. F 10%</t>
  </si>
  <si>
    <t>Bank's</t>
  </si>
  <si>
    <t>Members</t>
  </si>
  <si>
    <t>Loan</t>
  </si>
  <si>
    <t>HBA</t>
  </si>
  <si>
    <t>Motor Cycle</t>
  </si>
  <si>
    <t>Computer loan</t>
  </si>
  <si>
    <t>Kallan Fund</t>
  </si>
  <si>
    <t>News Paper</t>
  </si>
  <si>
    <t>Income tax</t>
  </si>
  <si>
    <t>Stamps</t>
  </si>
  <si>
    <t xml:space="preserve">A. OFFICER: </t>
  </si>
  <si>
    <t>BSRS</t>
  </si>
  <si>
    <t>BDBL</t>
  </si>
  <si>
    <t>Khadiza Begum</t>
  </si>
  <si>
    <t xml:space="preserve">SUB-TOTAL (A) : </t>
  </si>
  <si>
    <t>Md. Abul Kashem Miah</t>
  </si>
  <si>
    <t>SSG-1</t>
  </si>
  <si>
    <t>Md.Shahabuddin</t>
  </si>
  <si>
    <t>SSG-2</t>
  </si>
  <si>
    <t xml:space="preserve">Md. Salim Miah </t>
  </si>
  <si>
    <t xml:space="preserve">SUB-TOTAL (B) : </t>
  </si>
  <si>
    <t>Please Pay Tk.</t>
  </si>
  <si>
    <t>19.3/9.2/</t>
  </si>
  <si>
    <t>Date :</t>
  </si>
  <si>
    <t xml:space="preserve">Central Accounts Department </t>
  </si>
  <si>
    <t xml:space="preserve">Bangladesh Development Bank Ltd.  </t>
  </si>
  <si>
    <t xml:space="preserve">Head Office </t>
  </si>
  <si>
    <t xml:space="preserve">Dhaka. </t>
  </si>
  <si>
    <t>Sl. No</t>
  </si>
  <si>
    <t xml:space="preserve">Name </t>
  </si>
  <si>
    <t>Basic 
pay paid</t>
  </si>
  <si>
    <t>Contribution</t>
  </si>
  <si>
    <t>Remarks</t>
  </si>
  <si>
    <t>Pr. Officer</t>
  </si>
  <si>
    <t>%</t>
  </si>
  <si>
    <t>Provident fund member contribution</t>
  </si>
  <si>
    <t>Provident fund Banks' contribution</t>
  </si>
  <si>
    <t>Gratuity fund Banks' contribution</t>
  </si>
  <si>
    <t>PF loan installment</t>
  </si>
  <si>
    <t>Amount</t>
  </si>
  <si>
    <t>Employee ID</t>
  </si>
  <si>
    <t>Rangpur Branch</t>
  </si>
  <si>
    <t>Pension Fund</t>
  </si>
  <si>
    <t>Income Tax</t>
  </si>
  <si>
    <t>Bangladesh Development Bank Ltd</t>
  </si>
  <si>
    <t>SL No</t>
  </si>
  <si>
    <t>NAME</t>
  </si>
  <si>
    <t>DESIGNATION</t>
  </si>
  <si>
    <t>A/C NO.</t>
  </si>
  <si>
    <t>Taka</t>
  </si>
  <si>
    <t xml:space="preserve">Net Pay Salary </t>
  </si>
  <si>
    <t>AC NO</t>
  </si>
  <si>
    <t>NET PAY</t>
  </si>
  <si>
    <t>TOTAL =</t>
  </si>
  <si>
    <t>Computer Installment</t>
  </si>
  <si>
    <t>72-08</t>
  </si>
  <si>
    <t>72-02</t>
  </si>
  <si>
    <t>72-11</t>
  </si>
  <si>
    <t>72-06</t>
  </si>
  <si>
    <t>72-07</t>
  </si>
  <si>
    <t>Prepared by…………………………….</t>
  </si>
  <si>
    <t>Taka (In words) :</t>
  </si>
  <si>
    <t>216-G</t>
  </si>
  <si>
    <t>639/640</t>
  </si>
  <si>
    <t>contra :</t>
  </si>
  <si>
    <t xml:space="preserve">DEBIT </t>
  </si>
  <si>
    <t>Posted By</t>
  </si>
  <si>
    <t>ACCOUNT CODE</t>
  </si>
  <si>
    <t>PARTICULARS</t>
  </si>
  <si>
    <t xml:space="preserve">Date: </t>
  </si>
  <si>
    <t>216-B</t>
  </si>
  <si>
    <t>Revenue stamp aginst salary for the month</t>
  </si>
  <si>
    <t xml:space="preserve">month of </t>
  </si>
  <si>
    <t>Subscription of employee income tax for the</t>
  </si>
  <si>
    <t>117-E</t>
  </si>
  <si>
    <t>Transfer Scroll No. …………                       Officer / Sr. Officer                         Principal Officer</t>
  </si>
  <si>
    <t xml:space="preserve">Net Salary paid by bank for the month of </t>
  </si>
  <si>
    <t>&amp;</t>
  </si>
  <si>
    <t>Salary and allowances</t>
  </si>
  <si>
    <t>Transfer Scroll No. …………                  OFFICER / SR. OFFICER                     PRINCIPAL OFFICER</t>
  </si>
  <si>
    <t>for the month of</t>
  </si>
  <si>
    <t xml:space="preserve">Newspaper bill </t>
  </si>
  <si>
    <t>Employees benevolent fund A/C</t>
  </si>
  <si>
    <t>Kallan fund contribution for the month of</t>
  </si>
  <si>
    <t>Contra :</t>
  </si>
  <si>
    <t>BSB &amp; BSRS</t>
  </si>
  <si>
    <t xml:space="preserve">BSB &amp; BSRS Pension fund contribution for the month of </t>
  </si>
  <si>
    <t>639/671</t>
  </si>
  <si>
    <t>Employees Gratuty Pension And Benevolent Fund</t>
  </si>
  <si>
    <t>BSRS Pension fund contribution for the month of</t>
  </si>
  <si>
    <t>179-B</t>
  </si>
  <si>
    <t>PENSION &amp; DEATH-CUM-RET. Benefit BSRS</t>
  </si>
  <si>
    <t xml:space="preserve">BSB Pension fund contribution for the month of </t>
  </si>
  <si>
    <t>PENSION &amp; DEATH-CUM-RET. Benefit BSB</t>
  </si>
  <si>
    <t>Bank's Contributions Provident Fund for the month of</t>
  </si>
  <si>
    <t>639/642</t>
  </si>
  <si>
    <t>Employees provident fund A/c ( BDBL)</t>
  </si>
  <si>
    <t>Members Contributions Provident Fund for the month of</t>
  </si>
  <si>
    <t>Employees provident fund A/c (BSB &amp; BDBL)</t>
  </si>
  <si>
    <t>PF Loan installment for the month of</t>
  </si>
  <si>
    <t>Salary for the month of</t>
  </si>
  <si>
    <t>Bsb</t>
  </si>
  <si>
    <t>Bsrs</t>
  </si>
  <si>
    <t>Bdbl</t>
  </si>
  <si>
    <t>Arrear</t>
  </si>
  <si>
    <t>B. STAFF</t>
  </si>
  <si>
    <t>20750-35</t>
  </si>
  <si>
    <t>117-F</t>
  </si>
  <si>
    <t>EMPLOYEE REVENUE STAMP</t>
  </si>
  <si>
    <t xml:space="preserve">GRAND TOTAL (A+B) : </t>
  </si>
  <si>
    <t>20850-03</t>
  </si>
  <si>
    <t>Manager (AGM)</t>
  </si>
  <si>
    <t>72-12</t>
  </si>
  <si>
    <t>63-2217</t>
  </si>
  <si>
    <t>63-0010</t>
  </si>
  <si>
    <t>Others (GIP)</t>
  </si>
  <si>
    <t>72-13</t>
  </si>
  <si>
    <t>Transfer Scroll No. …………                  OFFICER / SR. OFFICER               PRINCIPAL OFFICER</t>
  </si>
  <si>
    <t>Twelve Only.</t>
  </si>
  <si>
    <t>14100-001</t>
  </si>
  <si>
    <t>BDBL Gen.A/C Head Office (CAD)</t>
  </si>
  <si>
    <t xml:space="preserve">Taka (In words) : </t>
  </si>
  <si>
    <t xml:space="preserve">Kallan Fund </t>
  </si>
  <si>
    <t>Group Insurance Premiem</t>
  </si>
  <si>
    <t xml:space="preserve">       </t>
  </si>
  <si>
    <t xml:space="preserve">   </t>
  </si>
  <si>
    <t>153,151,117-F,227,117-E,151-A,151,216,</t>
  </si>
  <si>
    <t>216-B, 216-C, 110</t>
  </si>
  <si>
    <t xml:space="preserve">    </t>
  </si>
  <si>
    <t>72-15</t>
  </si>
  <si>
    <t>Md Nuruzzaman</t>
  </si>
  <si>
    <t>42-16</t>
  </si>
  <si>
    <t>Md Hamidur Rahman Beg</t>
  </si>
  <si>
    <t>SO</t>
  </si>
  <si>
    <t>Rasheda Khatun</t>
  </si>
  <si>
    <t>SO (IT)</t>
  </si>
  <si>
    <t>Mst. Ishrat Jahan Aysha</t>
  </si>
  <si>
    <t>Salary and Allowance</t>
  </si>
  <si>
    <t>5300-31</t>
  </si>
  <si>
    <t>Pension fund 41%</t>
  </si>
  <si>
    <t>20750-62</t>
  </si>
  <si>
    <t>20750-44</t>
  </si>
  <si>
    <r>
      <t xml:space="preserve">Folio    ……                          </t>
    </r>
    <r>
      <rPr>
        <sz val="14"/>
        <color theme="1"/>
        <rFont val="Times New Roman"/>
        <family val="1"/>
      </rPr>
      <t>…</t>
    </r>
    <r>
      <rPr>
        <b/>
        <sz val="14"/>
        <color theme="1"/>
        <rFont val="Times New Roman"/>
        <family val="1"/>
      </rPr>
      <t xml:space="preserve">Rangpur </t>
    </r>
    <r>
      <rPr>
        <b/>
        <sz val="11"/>
        <color theme="1"/>
        <rFont val="Times New Roman"/>
        <family val="1"/>
      </rPr>
      <t xml:space="preserve"> Branch</t>
    </r>
  </si>
  <si>
    <r>
      <rPr>
        <sz val="12"/>
        <color theme="1"/>
        <rFont val="Times New Roman"/>
        <family val="1"/>
      </rPr>
      <t>CREDIT</t>
    </r>
    <r>
      <rPr>
        <sz val="15"/>
        <color theme="1"/>
        <rFont val="Times New Roman"/>
        <family val="1"/>
      </rPr>
      <t xml:space="preserve">  </t>
    </r>
    <r>
      <rPr>
        <b/>
        <sz val="15"/>
        <color theme="1"/>
        <rFont val="Times New Roman"/>
        <family val="1"/>
      </rPr>
      <t xml:space="preserve">   Savings Deposit</t>
    </r>
  </si>
  <si>
    <r>
      <rPr>
        <sz val="12"/>
        <color theme="1"/>
        <rFont val="Times New Roman"/>
        <family val="1"/>
      </rPr>
      <t>CREDIT</t>
    </r>
    <r>
      <rPr>
        <sz val="15"/>
        <color theme="1"/>
        <rFont val="Times New Roman"/>
        <family val="1"/>
      </rPr>
      <t xml:space="preserve">      </t>
    </r>
    <r>
      <rPr>
        <b/>
        <sz val="15"/>
        <color theme="1"/>
        <rFont val="Times New Roman"/>
        <family val="1"/>
      </rPr>
      <t>Staff HBA</t>
    </r>
    <r>
      <rPr>
        <sz val="15"/>
        <color theme="1"/>
        <rFont val="Times New Roman"/>
        <family val="1"/>
      </rPr>
      <t xml:space="preserve"> </t>
    </r>
    <r>
      <rPr>
        <b/>
        <sz val="15"/>
        <color theme="1"/>
        <rFont val="Times New Roman"/>
        <family val="1"/>
      </rPr>
      <t xml:space="preserve"> </t>
    </r>
  </si>
  <si>
    <r>
      <t xml:space="preserve">HBA </t>
    </r>
    <r>
      <rPr>
        <sz val="14"/>
        <color theme="1"/>
        <rFont val="Times New Roman"/>
        <family val="1"/>
      </rPr>
      <t xml:space="preserve">installment for the month of </t>
    </r>
  </si>
  <si>
    <r>
      <rPr>
        <sz val="12"/>
        <color theme="1"/>
        <rFont val="Times New Roman"/>
        <family val="1"/>
      </rPr>
      <t>CREDIT</t>
    </r>
    <r>
      <rPr>
        <sz val="15"/>
        <color theme="1"/>
        <rFont val="Times New Roman"/>
        <family val="1"/>
      </rPr>
      <t xml:space="preserve">  </t>
    </r>
    <r>
      <rPr>
        <b/>
        <sz val="15"/>
        <color theme="1"/>
        <rFont val="Times New Roman"/>
        <family val="1"/>
      </rPr>
      <t xml:space="preserve">  Employee income tax</t>
    </r>
  </si>
  <si>
    <r>
      <rPr>
        <sz val="12"/>
        <color theme="1"/>
        <rFont val="Times New Roman"/>
        <family val="1"/>
      </rPr>
      <t>CREDIT</t>
    </r>
    <r>
      <rPr>
        <sz val="15"/>
        <color theme="1"/>
        <rFont val="Times New Roman"/>
        <family val="1"/>
      </rPr>
      <t xml:space="preserve">  </t>
    </r>
  </si>
  <si>
    <r>
      <rPr>
        <sz val="12"/>
        <color theme="1"/>
        <rFont val="Times New Roman"/>
        <family val="1"/>
      </rPr>
      <t>CREDIT</t>
    </r>
    <r>
      <rPr>
        <sz val="15"/>
        <color theme="1"/>
        <rFont val="Times New Roman"/>
        <family val="1"/>
      </rPr>
      <t xml:space="preserve">  </t>
    </r>
    <r>
      <rPr>
        <b/>
        <sz val="15"/>
        <color theme="1"/>
        <rFont val="Times New Roman"/>
        <family val="1"/>
      </rPr>
      <t xml:space="preserve">   Staff     MCA</t>
    </r>
  </si>
  <si>
    <r>
      <t xml:space="preserve">MCA </t>
    </r>
    <r>
      <rPr>
        <sz val="14"/>
        <color theme="1"/>
        <rFont val="Times New Roman"/>
        <family val="1"/>
      </rPr>
      <t xml:space="preserve">installment for the month of </t>
    </r>
  </si>
  <si>
    <r>
      <rPr>
        <sz val="12"/>
        <color theme="1"/>
        <rFont val="Times New Roman"/>
        <family val="1"/>
      </rPr>
      <t>CREDIT</t>
    </r>
    <r>
      <rPr>
        <sz val="15"/>
        <color theme="1"/>
        <rFont val="Times New Roman"/>
        <family val="1"/>
      </rPr>
      <t xml:space="preserve">  </t>
    </r>
    <r>
      <rPr>
        <b/>
        <sz val="15"/>
        <color theme="1"/>
        <rFont val="Times New Roman"/>
        <family val="1"/>
      </rPr>
      <t xml:space="preserve">Staff Computer Advance  </t>
    </r>
  </si>
  <si>
    <r>
      <t xml:space="preserve">Computer loan </t>
    </r>
    <r>
      <rPr>
        <sz val="12"/>
        <color theme="1"/>
        <rFont val="Times New Roman"/>
        <family val="1"/>
      </rPr>
      <t xml:space="preserve">installment for the month of </t>
    </r>
  </si>
  <si>
    <r>
      <rPr>
        <sz val="12"/>
        <color theme="1"/>
        <rFont val="Times New Roman"/>
        <family val="1"/>
      </rPr>
      <t>CREDIT</t>
    </r>
    <r>
      <rPr>
        <sz val="15"/>
        <color theme="1"/>
        <rFont val="Times New Roman"/>
        <family val="1"/>
      </rPr>
      <t xml:space="preserve">      </t>
    </r>
  </si>
  <si>
    <r>
      <rPr>
        <sz val="12"/>
        <color theme="1"/>
        <rFont val="Times New Roman"/>
        <family val="1"/>
      </rPr>
      <t>CREDIT</t>
    </r>
    <r>
      <rPr>
        <sz val="15"/>
        <color theme="1"/>
        <rFont val="Times New Roman"/>
        <family val="1"/>
      </rPr>
      <t xml:space="preserve">  </t>
    </r>
    <r>
      <rPr>
        <b/>
        <sz val="15"/>
        <color theme="1"/>
        <rFont val="Times New Roman"/>
        <family val="1"/>
      </rPr>
      <t xml:space="preserve"> </t>
    </r>
  </si>
  <si>
    <r>
      <rPr>
        <sz val="12"/>
        <color theme="1"/>
        <rFont val="Times New Roman"/>
        <family val="1"/>
      </rPr>
      <t>CREDIT</t>
    </r>
    <r>
      <rPr>
        <sz val="15"/>
        <color indexed="8"/>
        <rFont val="Times New Roman"/>
        <family val="1"/>
      </rPr>
      <t/>
    </r>
  </si>
  <si>
    <r>
      <t xml:space="preserve">DEBIT    </t>
    </r>
    <r>
      <rPr>
        <b/>
        <sz val="12"/>
        <color theme="1"/>
        <rFont val="Times New Roman"/>
        <family val="1"/>
      </rPr>
      <t>Banks Contribution To Employees P. F</t>
    </r>
  </si>
  <si>
    <t>Employees provident fund A/c BSRS</t>
  </si>
  <si>
    <t>Shankar Kumar Bhoumik</t>
  </si>
  <si>
    <t>SB A/c No</t>
  </si>
  <si>
    <t>Branch Manager (AGM)</t>
  </si>
  <si>
    <t>CR</t>
  </si>
  <si>
    <t>DR</t>
  </si>
  <si>
    <t>sb</t>
  </si>
  <si>
    <t>Stamp</t>
  </si>
  <si>
    <t>IT</t>
  </si>
  <si>
    <t>MCA</t>
  </si>
  <si>
    <t>COM</t>
  </si>
  <si>
    <t>Kallan</t>
  </si>
  <si>
    <t>GIP</t>
  </si>
  <si>
    <t>NEWs</t>
  </si>
  <si>
    <t>PF BM</t>
  </si>
  <si>
    <t>Pen Bsb</t>
  </si>
  <si>
    <t>Pen BSRS</t>
  </si>
  <si>
    <t>GF BB</t>
  </si>
  <si>
    <t>MEM Bsb</t>
  </si>
  <si>
    <t>MEM BSRS</t>
  </si>
  <si>
    <t>Member Contribution to PF BSB</t>
  </si>
  <si>
    <t>Employees Provident Fund fund A/C</t>
  </si>
  <si>
    <t>Member Contribution to PF BSRS</t>
  </si>
  <si>
    <t>Md Ashraful Islam</t>
  </si>
  <si>
    <t xml:space="preserve">General Insurance Premium </t>
  </si>
  <si>
    <t>(110,216,216-B,216-G)</t>
  </si>
  <si>
    <t>Employees provident fund A/c (BDBL)</t>
  </si>
  <si>
    <t>Pr. Officer-1</t>
  </si>
  <si>
    <t>Basic
Paid on Dec 2018  (Tk)</t>
  </si>
  <si>
    <t>Deduction of Revenue Stamp (Tk)</t>
  </si>
  <si>
    <t>Net Pay (Tk)</t>
  </si>
  <si>
    <t>Md Zinnatul Alam</t>
  </si>
  <si>
    <t>PF Installment</t>
  </si>
  <si>
    <t>Nazmus Sakib</t>
  </si>
  <si>
    <t>SPO</t>
  </si>
  <si>
    <t>Noboborsho Vata  1427 as per CAD Circular No 03/2020 Dt. 25/03/2020</t>
  </si>
  <si>
    <t>Noboborsho Vata (Tk)</t>
  </si>
  <si>
    <t>PF OC</t>
  </si>
  <si>
    <t>Md Mintu Mia</t>
  </si>
  <si>
    <t>Md Ezazul Haque Sarkar</t>
  </si>
  <si>
    <t>Puja Bonus 2020 as per CAD Circular No 08/2020 Dt. 30/09/2020</t>
  </si>
  <si>
    <t>11-10-2020</t>
  </si>
  <si>
    <t>November 2020</t>
  </si>
  <si>
    <t>Senior Principal Officer-3</t>
  </si>
  <si>
    <t>Senior Principal Officer-2</t>
  </si>
  <si>
    <t>Computer Loan A/C No.</t>
  </si>
  <si>
    <t xml:space="preserve">NAME </t>
  </si>
  <si>
    <t>SL.</t>
  </si>
  <si>
    <t>Sub : Statement of  Cpmputer Loan for BSB BSRS &amp; BDBL Employee's</t>
  </si>
  <si>
    <t>Mohadevpur Branch, Manikganj.</t>
  </si>
  <si>
    <t>BANGLADESH DEVELOPMENT BANK LIMITED</t>
  </si>
  <si>
    <t>Motor cycle Loan A/C No.</t>
  </si>
  <si>
    <t>Sub : Statement of  Motor Cycle Loan for  BSB BSRS &amp; BDBL Employee's</t>
  </si>
  <si>
    <t>AGM &amp; Branch Manager</t>
  </si>
  <si>
    <t>A/C No.</t>
  </si>
  <si>
    <t>Sub : Statement of  HBA  Loan for BSB BSRS &amp; BDBL Employee's</t>
  </si>
  <si>
    <t>Bank Cont of BDBL PF</t>
  </si>
  <si>
    <t>Approved by:</t>
  </si>
  <si>
    <t>Total Debit Amount</t>
  </si>
  <si>
    <t>B.</t>
  </si>
  <si>
    <t>53100-04</t>
  </si>
  <si>
    <t xml:space="preserve">Sumptuary Allowances Paid  </t>
  </si>
  <si>
    <t>BANK CONTRIBUTION TO EMPLOYEES GRATUITY FUND A/C</t>
  </si>
  <si>
    <t>53100-36</t>
  </si>
  <si>
    <t xml:space="preserve">Bank's contribution Paid to  BDBL employee.s GRATUITY FUND A/C   </t>
  </si>
  <si>
    <t>BANKS CONTRIBUTION TO EMPLOYEES P. F.</t>
  </si>
  <si>
    <t>Bank's contribution Paid  to   BDBL Employee's P.F A/C</t>
  </si>
  <si>
    <t>EMPLOYEES GRATUTY PENSION AND BENEVOLENT FUND</t>
  </si>
  <si>
    <t xml:space="preserve"> contribution Super Annuation Fund for BSB &amp;BSRS Paid</t>
  </si>
  <si>
    <t>53100-33</t>
  </si>
  <si>
    <t>Employees Education Allowances Own  Paid</t>
  </si>
  <si>
    <t>53100-03</t>
  </si>
  <si>
    <t>Employees Medical Allowances Paid Paid</t>
  </si>
  <si>
    <t>53100-02</t>
  </si>
  <si>
    <t xml:space="preserve">Employees House Rent  Allowances  Paid   </t>
  </si>
  <si>
    <t xml:space="preserve">Employees Basic Salary Paid      </t>
  </si>
  <si>
    <t>Pension Gratuety and BF of BDBL</t>
  </si>
  <si>
    <t>AMOUNT TK.</t>
  </si>
  <si>
    <t>DEBIT(Paid)</t>
  </si>
  <si>
    <t>Total Credit Amount</t>
  </si>
  <si>
    <t>A.</t>
  </si>
  <si>
    <t>EMPLOYEES INCOME TAX</t>
  </si>
  <si>
    <t>SUNDRY DEPOSIT (MISC.)</t>
  </si>
  <si>
    <t>20750-13</t>
  </si>
  <si>
    <t xml:space="preserve">Rev. Stump deducted from Salary </t>
  </si>
  <si>
    <t>54600-08</t>
  </si>
  <si>
    <t xml:space="preserve"> News paper &amp; Magazine Bill        </t>
  </si>
  <si>
    <t>20750-47</t>
  </si>
  <si>
    <t xml:space="preserve">Contribution Gratuety Fund  BDBL Employee's. </t>
  </si>
  <si>
    <t>Contribution Super Annuation Fund BSB Employee's.</t>
  </si>
  <si>
    <t>Contribution Super Annuation Fund BSRS Employee's.</t>
  </si>
  <si>
    <t>BSB EMPLOYEES PROVIDENT FUND A/C (Contribution)</t>
  </si>
  <si>
    <t>BDBL EMPLOYEES PROVIDENT FUND (Contribution)</t>
  </si>
  <si>
    <t xml:space="preserve"> BSRS EMPLOYEES PROVIDENT FUND A/C</t>
  </si>
  <si>
    <t>Benevolent Fund deducted(BDBL)</t>
  </si>
  <si>
    <t>Benevolent Fund deducted(BSB)</t>
  </si>
  <si>
    <t>Benevolent Fund deducted BSRS) Emplyees</t>
  </si>
  <si>
    <t>13600-39</t>
  </si>
  <si>
    <t>Computer Loan deducted from the salary(Attached Encloser)</t>
  </si>
  <si>
    <t>15400-10</t>
  </si>
  <si>
    <t>Motor Cycle Loan  A/C ( Attached Encloser)</t>
  </si>
  <si>
    <t>13600-001</t>
  </si>
  <si>
    <t>HBA Loan Installment Deduct BSB, BSRS, BDBL( Attached Encloser)</t>
  </si>
  <si>
    <t>20200-01</t>
  </si>
  <si>
    <t>20200-02</t>
  </si>
  <si>
    <t>Net Salary Paid Staff A/C (Attached Encloser)</t>
  </si>
  <si>
    <t>CREDIT                                                                (Deduct)</t>
  </si>
  <si>
    <t>Sr.N0.</t>
  </si>
  <si>
    <t>TRANSFER</t>
  </si>
  <si>
    <t>Bangladesh Development Bank Limited</t>
  </si>
  <si>
    <t>Sub :  Salary of  Officers  &amp;  Staffs For the Month of  October  2020.</t>
  </si>
  <si>
    <t xml:space="preserve">               </t>
  </si>
  <si>
    <t>Sl.N0.</t>
  </si>
  <si>
    <t>Name &amp; Designation</t>
  </si>
  <si>
    <t>Basic Pay</t>
  </si>
  <si>
    <t>Inc /  Arrear</t>
  </si>
  <si>
    <t>Net Basic</t>
  </si>
  <si>
    <t>House Rent Allownce</t>
  </si>
  <si>
    <t>Medical Allownce</t>
  </si>
  <si>
    <t>Child. Edcn. Spcl. Allow</t>
  </si>
  <si>
    <t>Conveyance/ArearIncome Tax</t>
  </si>
  <si>
    <t>Mobile/Cellular Phone Monthly Charge</t>
  </si>
  <si>
    <t>Sumtuary/Car Maintenc.</t>
  </si>
  <si>
    <t>Total(Salary Allownce)</t>
  </si>
  <si>
    <t>Bank Cont. To PF (10%)(With Arear)</t>
  </si>
  <si>
    <t>Bank Cont. To GPF (10%)(With Arear)</t>
  </si>
  <si>
    <t>Bank Cont. To S.A.F/pention  (41%) (with Area)</t>
  </si>
  <si>
    <t xml:space="preserve">Gross </t>
  </si>
  <si>
    <t xml:space="preserve">Total deduct  </t>
  </si>
  <si>
    <t>Net Deduct</t>
  </si>
  <si>
    <t>Net Payable</t>
  </si>
  <si>
    <t>BSB BDB: BBSRS</t>
  </si>
  <si>
    <t xml:space="preserve"> BSB BSRS S.A.F (41%)  *</t>
  </si>
  <si>
    <t>BF</t>
  </si>
  <si>
    <t>Paper</t>
  </si>
  <si>
    <t>Total paid by the Bank</t>
  </si>
  <si>
    <t>PF %</t>
  </si>
  <si>
    <t>Bank+ Own Amount</t>
  </si>
  <si>
    <t>Loan(Others)</t>
  </si>
  <si>
    <t xml:space="preserve">Bank's Contr. to Gratuity Fund </t>
  </si>
  <si>
    <t>Bank's Contr.to  Prov. Fund(10%)</t>
  </si>
  <si>
    <t>Association</t>
  </si>
  <si>
    <t>Union Subscription Fee</t>
  </si>
  <si>
    <t>HB</t>
  </si>
  <si>
    <t>M.Cyl</t>
  </si>
  <si>
    <t>Computer</t>
  </si>
  <si>
    <t>To PM Fund Purpose of Corona Victim</t>
  </si>
  <si>
    <t>Revenue</t>
  </si>
  <si>
    <t>Deduct. (With Bank Contribution)</t>
  </si>
  <si>
    <t>Deduct (With out Bank Contribution)</t>
  </si>
  <si>
    <t>14=5 to 13</t>
  </si>
  <si>
    <t>18=14+15+16+17</t>
  </si>
  <si>
    <t>34=COL20 To 33</t>
  </si>
  <si>
    <t>35=34-24</t>
  </si>
  <si>
    <t>36=18-34</t>
  </si>
  <si>
    <t>Md Faidur Rahman(BSRS)</t>
  </si>
  <si>
    <t>Mr. Md. Rezaul Karim</t>
  </si>
  <si>
    <t>-</t>
  </si>
  <si>
    <t>Senior Principal Officer</t>
  </si>
  <si>
    <t>Mr. Mohammad Ashraf Uddin</t>
  </si>
  <si>
    <t>S.Officer</t>
  </si>
  <si>
    <t>Md. Abul Kalam(BDBL)</t>
  </si>
  <si>
    <t>Abdul Alim Khan (BSB)</t>
  </si>
  <si>
    <t>Md. Roknuzzaman (BDBL)</t>
  </si>
  <si>
    <t>Md. Mosharraf Hossain(BSB)</t>
  </si>
  <si>
    <t>Mr. Ashraf Mahmud</t>
  </si>
  <si>
    <t>Chandan Biswas(BDBL)</t>
  </si>
  <si>
    <t>Md. Allama Ikbal(BDBL)</t>
  </si>
  <si>
    <t>T =Transport Charge</t>
  </si>
  <si>
    <t>Prepared By:</t>
  </si>
  <si>
    <t>P=Paper Bill</t>
  </si>
  <si>
    <t>H.B. = House Building</t>
  </si>
  <si>
    <t>M=Motor Cycle</t>
  </si>
  <si>
    <t>Ass. Fee= Association Fee</t>
  </si>
  <si>
    <t>(Md Allama Ikbal)</t>
  </si>
  <si>
    <t>Chandan Biswas</t>
  </si>
  <si>
    <r>
      <t xml:space="preserve">        </t>
    </r>
    <r>
      <rPr>
        <b/>
        <sz val="12"/>
        <rFont val="Arial"/>
        <family val="2"/>
      </rPr>
      <t xml:space="preserve"> (Md Roknuzzaman)                  (Md. Abdul Alim Khan )</t>
    </r>
  </si>
  <si>
    <t>(Md. Abul Kalam)</t>
  </si>
  <si>
    <t>GPF=General Provident Fund</t>
  </si>
  <si>
    <t>Senior Officer</t>
  </si>
  <si>
    <t xml:space="preserve">                 Principal Officer                                 Principal Officer</t>
  </si>
  <si>
    <t>* SAF=Super Annuation Fund</t>
  </si>
  <si>
    <t xml:space="preserve">                   Md. Faidur Rahman</t>
  </si>
  <si>
    <t xml:space="preserve">              </t>
  </si>
  <si>
    <t>Rangpur Branch,Rangpur.</t>
  </si>
  <si>
    <t>Md.Abul Kalam</t>
  </si>
  <si>
    <t>Staff</t>
  </si>
  <si>
    <t>Officers</t>
  </si>
  <si>
    <t>0570100000798</t>
  </si>
  <si>
    <t>0570100001018</t>
  </si>
  <si>
    <t xml:space="preserve">0570100000931 </t>
  </si>
  <si>
    <t>0570100000174</t>
  </si>
  <si>
    <t>0570100001022</t>
  </si>
  <si>
    <t>0570100000215</t>
  </si>
  <si>
    <t>0570100001058</t>
  </si>
  <si>
    <t>Sub Total</t>
  </si>
  <si>
    <t>Sub TOTAL</t>
  </si>
  <si>
    <t>C.</t>
  </si>
  <si>
    <t>Total (A+B)</t>
  </si>
  <si>
    <t>0570630000007</t>
  </si>
  <si>
    <t>0570630002204</t>
  </si>
  <si>
    <t>9549</t>
  </si>
  <si>
    <t>9198</t>
  </si>
  <si>
    <t>0570630000009</t>
  </si>
  <si>
    <t>0570630002207</t>
  </si>
  <si>
    <t>0570630002236</t>
  </si>
  <si>
    <t>0570630002237</t>
  </si>
  <si>
    <t>0570630001001</t>
  </si>
  <si>
    <t>0570720000011</t>
  </si>
  <si>
    <t>0570640001711</t>
  </si>
  <si>
    <t>0570640001718</t>
  </si>
  <si>
    <t>0570640001714</t>
  </si>
  <si>
    <t>0570720000002</t>
  </si>
  <si>
    <t>0570720000006</t>
  </si>
  <si>
    <t>0570640001733</t>
  </si>
  <si>
    <t>0570640001735</t>
  </si>
  <si>
    <t>TOTAL(A+B):</t>
  </si>
  <si>
    <t xml:space="preserve">TOTAL(A+B): </t>
  </si>
  <si>
    <t>0570100000214</t>
  </si>
  <si>
    <t>0570100000334</t>
  </si>
  <si>
    <t>0570100000363</t>
  </si>
  <si>
    <t>Md Zinnatul Alam                                 (SPO)</t>
  </si>
  <si>
    <t>Md. Abul Kalam          (SPO)</t>
  </si>
  <si>
    <t>Shankar Kumar Bhoumik                 (AGM &amp; Manager)</t>
  </si>
  <si>
    <t>Rangpur Branch, Rangpur.</t>
  </si>
  <si>
    <t xml:space="preserve"> SB A/C No.</t>
  </si>
  <si>
    <t>Convence Allowance</t>
  </si>
  <si>
    <t>54600-09</t>
  </si>
  <si>
    <t>54700-01</t>
  </si>
  <si>
    <t>54800-01</t>
  </si>
  <si>
    <t>GIP OF Md Mintu Miah BSRS</t>
  </si>
  <si>
    <t>10251</t>
  </si>
  <si>
    <t>PF Against Loan BsB Md.Shahabuddins</t>
  </si>
  <si>
    <t>0570630002238</t>
  </si>
  <si>
    <t>MD.Shahjahan Kabir</t>
  </si>
  <si>
    <t>"570100000314</t>
  </si>
  <si>
    <t>0570640001737</t>
  </si>
  <si>
    <t>0570720000022</t>
  </si>
  <si>
    <t>Rangpur Branch,Rangpur</t>
  </si>
  <si>
    <t>Sub :  Naboborsho Vata/Bonus 1428</t>
  </si>
  <si>
    <t>Date</t>
  </si>
  <si>
    <t>Basic</t>
  </si>
  <si>
    <t>Basic on 20% Amount</t>
  </si>
  <si>
    <t>Revinue Stamp</t>
  </si>
  <si>
    <t>Net Vata</t>
  </si>
  <si>
    <t>7=5-6</t>
  </si>
  <si>
    <t>Mr Shankar Kumar Bhoumic</t>
  </si>
  <si>
    <t>Mr.Md. Abul Kalam</t>
  </si>
  <si>
    <t>Mr. Zinnatul Alam</t>
  </si>
  <si>
    <t>Mr.MD. Shahjahan Kabir</t>
  </si>
  <si>
    <t>0570100000314</t>
  </si>
  <si>
    <t>Mst.Ishrat Jahan Aysha</t>
  </si>
  <si>
    <t>0570100000931</t>
  </si>
  <si>
    <t>Mst. Khadija Begum</t>
  </si>
  <si>
    <t>Mr.Nazmus Sakib</t>
  </si>
  <si>
    <t>Md. Abul Kashem Mia</t>
  </si>
  <si>
    <t>Md. Salim Mia</t>
  </si>
  <si>
    <t>Md.Ezazul Haque Sarker</t>
  </si>
  <si>
    <t>TOTAL</t>
  </si>
  <si>
    <t>Md.Yousuf Ali                                (SPO &amp; Manager)</t>
  </si>
  <si>
    <t>SPO &amp; Branch Manager</t>
  </si>
  <si>
    <t>Md. Yousuf Ali</t>
  </si>
  <si>
    <t>SPO &amp; Manager</t>
  </si>
  <si>
    <t>0570100000168</t>
  </si>
  <si>
    <t>Md Shahjahan Kabir                                  (PO)</t>
  </si>
  <si>
    <t>(Md.Yousuf Ali)</t>
  </si>
  <si>
    <t>Khadiza Begum***</t>
  </si>
  <si>
    <t>05706300002242</t>
  </si>
  <si>
    <t>0570640001739</t>
  </si>
  <si>
    <t>0570720000023</t>
  </si>
  <si>
    <t>0570630002239</t>
  </si>
  <si>
    <t>0570630002240</t>
  </si>
  <si>
    <t>0570640001738</t>
  </si>
  <si>
    <t>0570720000024</t>
  </si>
  <si>
    <t xml:space="preserve"> Salary allowance   Salary Adjusted    </t>
  </si>
  <si>
    <t>July</t>
  </si>
  <si>
    <t>Naz</t>
  </si>
  <si>
    <t>Khadija</t>
  </si>
  <si>
    <t>10395</t>
  </si>
  <si>
    <t>0</t>
  </si>
  <si>
    <t>Date:29-08-2021</t>
  </si>
  <si>
    <t>August  2021</t>
  </si>
  <si>
    <t xml:space="preserve"> Md. Abul Kalam                                                             (SPO)</t>
  </si>
  <si>
    <t>Sub :  Net Salary Paid Officers  &amp;  Staffs For the Month of August, 2021.</t>
  </si>
  <si>
    <t>For the Month of  August, 2021.</t>
  </si>
  <si>
    <t>For the Month of August, 2021.</t>
  </si>
  <si>
    <t xml:space="preserve">Md Shahjahan Kabir (PO)   </t>
  </si>
  <si>
    <t>Md. Abul Kalam                                                                                    (SPO)</t>
  </si>
  <si>
    <t>Voucher  August, 2021.</t>
  </si>
  <si>
    <t xml:space="preserve">             (Md Shahjahan Kabi)                                   </t>
  </si>
  <si>
    <t xml:space="preserve">  (Md. Abul Kalam)</t>
  </si>
  <si>
    <t xml:space="preserve">                    PO                                                                                            SPO</t>
  </si>
  <si>
    <t>Md. Abdur Razzaque</t>
  </si>
  <si>
    <t>Association/Union FeesOthers (GIP) Salary allowance</t>
  </si>
  <si>
    <t>0570100000210</t>
  </si>
  <si>
    <t>Union &amp; AssoCiation Fees</t>
  </si>
  <si>
    <t>14100-065</t>
  </si>
  <si>
    <t>Taka (in Words) Six Lac  Fifteen Thousand Five Hundred Thirty Only.</t>
  </si>
  <si>
    <t>Taka (in Words) Six Lac  Fifteen Thousand Five Hundred Thirty Only..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</si>
</sst>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(* #,##0.00_);_(* \(#,##0.00\);_(* &quot;-&quot;??_);_(@_)"/>
    <numFmt numFmtId="164" formatCode="_(* #,##0_);_(* \(#,##0\);_(* &quot;-&quot;??_);_(@_)"/>
    <numFmt numFmtId="165" formatCode="dd/mm/yyyy;@"/>
    <numFmt numFmtId="166" formatCode="_-* #,##0.00_-;\-* #,##0.00_-;_-* &quot;-&quot;??_-;_-@_-"/>
    <numFmt numFmtId="167" formatCode="_-* #,##0_-;\-* #,##0_-;_-* &quot;-&quot;??_-;_-@_-"/>
    <numFmt numFmtId="168" formatCode="0;[Red]0"/>
    <numFmt numFmtId="169" formatCode="#,##0;[Red]#,##0"/>
  </numFmts>
  <fonts count="109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15"/>
      <color indexed="8"/>
      <name val="Times New Roman"/>
      <family val="1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0.5"/>
      <color theme="1"/>
      <name val="Times New Roman"/>
      <family val="1"/>
    </font>
    <font>
      <sz val="15"/>
      <color theme="1"/>
      <name val="Times New Roman"/>
      <family val="1"/>
    </font>
    <font>
      <b/>
      <sz val="12"/>
      <color theme="1"/>
      <name val="Times New Roman"/>
      <family val="1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sz val="12"/>
      <color theme="1"/>
      <name val="Times New Roman"/>
      <family val="1"/>
    </font>
    <font>
      <b/>
      <sz val="10"/>
      <color theme="1"/>
      <name val="Times New Roman"/>
      <family val="1"/>
    </font>
    <font>
      <b/>
      <sz val="13"/>
      <color theme="1"/>
      <name val="Times New Roman"/>
      <family val="1"/>
    </font>
    <font>
      <u/>
      <sz val="11"/>
      <color theme="1"/>
      <name val="Times New Roman"/>
      <family val="1"/>
    </font>
    <font>
      <sz val="10"/>
      <color theme="1"/>
      <name val="Times New Roman"/>
      <family val="1"/>
    </font>
    <font>
      <b/>
      <u/>
      <sz val="12"/>
      <color theme="1"/>
      <name val="Times New Roman"/>
      <family val="1"/>
    </font>
    <font>
      <b/>
      <sz val="11"/>
      <color theme="1"/>
      <name val="SueVermeer4"/>
    </font>
    <font>
      <b/>
      <sz val="9"/>
      <color theme="1"/>
      <name val="Times New Roman"/>
      <family val="1"/>
    </font>
    <font>
      <sz val="9"/>
      <color theme="1"/>
      <name val="Times New Roman"/>
      <family val="1"/>
    </font>
    <font>
      <u/>
      <sz val="9"/>
      <color theme="1"/>
      <name val="Times New Roman"/>
      <family val="1"/>
    </font>
    <font>
      <sz val="12"/>
      <color theme="1"/>
      <name val="System"/>
      <family val="2"/>
    </font>
    <font>
      <sz val="11"/>
      <color theme="1"/>
      <name val="SueVermeer4"/>
    </font>
    <font>
      <b/>
      <sz val="16"/>
      <color theme="1"/>
      <name val="Times New Roman"/>
      <family val="1"/>
    </font>
    <font>
      <b/>
      <u/>
      <sz val="10"/>
      <color theme="1"/>
      <name val="Times New Roman"/>
      <family val="1"/>
    </font>
    <font>
      <b/>
      <u/>
      <sz val="11"/>
      <color theme="1"/>
      <name val="Times New Roman"/>
      <family val="1"/>
    </font>
    <font>
      <b/>
      <sz val="12"/>
      <color theme="1"/>
      <name val="SueVermeer4"/>
    </font>
    <font>
      <b/>
      <sz val="10"/>
      <color theme="1"/>
      <name val="SueVermeer4"/>
    </font>
    <font>
      <b/>
      <sz val="12"/>
      <color theme="1"/>
      <name val="System"/>
      <family val="2"/>
    </font>
    <font>
      <sz val="10"/>
      <color theme="1"/>
      <name val="Arial"/>
      <family val="2"/>
    </font>
    <font>
      <i/>
      <sz val="10"/>
      <color theme="1"/>
      <name val="Times New Roman"/>
      <family val="1"/>
    </font>
    <font>
      <b/>
      <sz val="20"/>
      <color theme="1"/>
      <name val="Times New Roman"/>
      <family val="1"/>
    </font>
    <font>
      <b/>
      <sz val="15"/>
      <color theme="1"/>
      <name val="Times New Roman"/>
      <family val="1"/>
    </font>
    <font>
      <sz val="12"/>
      <color theme="1"/>
      <name val="Arial"/>
      <family val="2"/>
    </font>
    <font>
      <sz val="10.5"/>
      <color theme="1"/>
      <name val="Times New Roman"/>
      <family val="1"/>
    </font>
    <font>
      <sz val="18"/>
      <color theme="1"/>
      <name val="Times New Roman"/>
      <family val="1"/>
    </font>
    <font>
      <sz val="11.5"/>
      <color theme="1"/>
      <name val="Times New Roman"/>
      <family val="1"/>
    </font>
    <font>
      <b/>
      <sz val="11.5"/>
      <color theme="1"/>
      <name val="Times New Roman"/>
      <family val="1"/>
    </font>
    <font>
      <b/>
      <sz val="10"/>
      <color theme="1"/>
      <name val="Arial"/>
      <family val="2"/>
    </font>
    <font>
      <b/>
      <sz val="8.5"/>
      <name val="Arial"/>
      <family val="2"/>
    </font>
    <font>
      <sz val="8.5"/>
      <name val="Arial"/>
      <family val="2"/>
    </font>
    <font>
      <b/>
      <u/>
      <sz val="8.5"/>
      <name val="Arial"/>
      <family val="2"/>
    </font>
    <font>
      <sz val="8.5"/>
      <color indexed="10"/>
      <name val="Arial"/>
      <family val="2"/>
    </font>
    <font>
      <sz val="8.5"/>
      <name val="SutonnyMJ"/>
    </font>
    <font>
      <sz val="9"/>
      <name val="Times New Roman"/>
      <family val="1"/>
    </font>
    <font>
      <b/>
      <sz val="9"/>
      <name val="CG Omega"/>
      <charset val="1"/>
    </font>
    <font>
      <b/>
      <sz val="9"/>
      <name val="CG Omega"/>
      <family val="2"/>
    </font>
    <font>
      <sz val="9"/>
      <name val="CG Omega"/>
      <family val="2"/>
    </font>
    <font>
      <b/>
      <sz val="8"/>
      <name val="Arial"/>
      <family val="2"/>
    </font>
    <font>
      <b/>
      <sz val="7"/>
      <name val="CG Omega"/>
      <charset val="1"/>
    </font>
    <font>
      <b/>
      <sz val="7"/>
      <name val="CG Omega"/>
      <family val="2"/>
    </font>
    <font>
      <b/>
      <sz val="9"/>
      <name val="Times New Roman"/>
      <family val="1"/>
    </font>
    <font>
      <b/>
      <sz val="9"/>
      <name val="CG Omega"/>
    </font>
    <font>
      <b/>
      <sz val="10"/>
      <name val="Arial"/>
      <family val="2"/>
    </font>
    <font>
      <b/>
      <sz val="8"/>
      <name val="Times New Roman"/>
      <family val="1"/>
    </font>
    <font>
      <sz val="10"/>
      <name val="CG Omega"/>
      <family val="2"/>
    </font>
    <font>
      <u/>
      <sz val="10"/>
      <name val="CG Omega"/>
      <family val="2"/>
    </font>
    <font>
      <b/>
      <sz val="14"/>
      <name val="CG Omega"/>
      <family val="2"/>
    </font>
    <font>
      <b/>
      <sz val="10"/>
      <name val="CG Omega"/>
      <family val="2"/>
    </font>
    <font>
      <sz val="7"/>
      <name val="Arial"/>
      <family val="2"/>
    </font>
    <font>
      <b/>
      <sz val="7"/>
      <name val="Arial"/>
      <family val="2"/>
    </font>
    <font>
      <b/>
      <sz val="12"/>
      <name val="Arial"/>
      <family val="2"/>
    </font>
    <font>
      <b/>
      <sz val="20"/>
      <name val="Arial"/>
      <family val="2"/>
    </font>
    <font>
      <b/>
      <sz val="11"/>
      <name val="Arial"/>
      <family val="2"/>
    </font>
    <font>
      <sz val="10"/>
      <color rgb="FFFF0000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b/>
      <sz val="28"/>
      <name val="Arial"/>
      <family val="2"/>
    </font>
    <font>
      <b/>
      <u/>
      <sz val="11"/>
      <name val="Arial"/>
      <family val="2"/>
    </font>
    <font>
      <b/>
      <sz val="18"/>
      <name val="Arial"/>
      <family val="2"/>
    </font>
    <font>
      <b/>
      <sz val="16"/>
      <name val="Arial"/>
      <family val="2"/>
    </font>
    <font>
      <b/>
      <u/>
      <sz val="14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name val="CG Omega"/>
    </font>
    <font>
      <sz val="8"/>
      <name val="CG Omega"/>
    </font>
    <font>
      <b/>
      <sz val="11"/>
      <name val="CG Omega"/>
    </font>
    <font>
      <sz val="7"/>
      <name val="CG Omega"/>
    </font>
    <font>
      <b/>
      <sz val="15"/>
      <name val="CG Omega"/>
      <charset val="1"/>
    </font>
    <font>
      <b/>
      <sz val="5"/>
      <name val="CG Omega"/>
      <charset val="1"/>
    </font>
    <font>
      <b/>
      <sz val="5"/>
      <name val="Arial"/>
      <family val="2"/>
    </font>
    <font>
      <b/>
      <sz val="7"/>
      <name val="CG Omega"/>
    </font>
    <font>
      <u/>
      <sz val="10"/>
      <name val="Arial"/>
      <family val="2"/>
    </font>
    <font>
      <sz val="7"/>
      <name val="CG Omega"/>
      <family val="2"/>
    </font>
    <font>
      <sz val="9"/>
      <name val="CG Omega"/>
    </font>
    <font>
      <sz val="6"/>
      <name val="CG Omega"/>
    </font>
    <font>
      <sz val="5"/>
      <name val="CG Omega"/>
    </font>
    <font>
      <sz val="5"/>
      <name val="CG Omega"/>
      <family val="2"/>
    </font>
    <font>
      <b/>
      <sz val="8"/>
      <name val="CG Omega"/>
    </font>
    <font>
      <sz val="6"/>
      <name val="CG Omega"/>
      <family val="2"/>
    </font>
    <font>
      <sz val="11"/>
      <name val="Arial"/>
      <family val="2"/>
    </font>
    <font>
      <b/>
      <sz val="10"/>
      <name val="CG Omega"/>
    </font>
    <font>
      <sz val="12"/>
      <name val="Arial"/>
      <family val="2"/>
    </font>
    <font>
      <sz val="10"/>
      <name val="CG Omega"/>
    </font>
    <font>
      <sz val="8"/>
      <name val="CG Omega"/>
      <family val="2"/>
    </font>
    <font>
      <b/>
      <sz val="11"/>
      <name val="CG Omega"/>
      <family val="2"/>
    </font>
    <font>
      <u/>
      <sz val="9"/>
      <name val="CG Omega"/>
    </font>
    <font>
      <b/>
      <sz val="18"/>
      <name val="CG Omega"/>
      <family val="2"/>
    </font>
    <font>
      <b/>
      <sz val="18"/>
      <name val="CG Omega"/>
    </font>
    <font>
      <b/>
      <sz val="10"/>
      <name val="CG Omega"/>
      <charset val="1"/>
    </font>
    <font>
      <b/>
      <sz val="12"/>
      <name val="CG Omega"/>
      <family val="2"/>
    </font>
    <font>
      <b/>
      <sz val="12"/>
      <name val="Times New Roman"/>
      <family val="1"/>
    </font>
    <font>
      <b/>
      <sz val="12"/>
      <name val="CG Omega"/>
    </font>
    <font>
      <sz val="10"/>
      <name val="SutonnyMJ"/>
    </font>
    <font>
      <sz val="10"/>
      <color rgb="FF00B050"/>
      <name val="Arial"/>
      <family val="2"/>
    </font>
    <font>
      <b/>
      <sz val="8"/>
      <name val="CG Omega"/>
      <charset val="1"/>
    </font>
    <font>
      <sz val="8.5"/>
      <color rgb="FFFF0000"/>
      <name val="Arial"/>
      <family val="2"/>
    </font>
    <font>
      <b/>
      <sz val="8.5"/>
      <color rgb="FFFF0000"/>
      <name val="Arial"/>
      <family val="2"/>
    </font>
    <font>
      <b/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17">
      <alignment horizontal="left" vertical="top"/>
    </xf>
    <xf numFmtId="164" fontId="1" fillId="0" borderId="0" applyFont="0" applyFill="0" applyBorder="0" applyProtection="0">
      <alignment horizontal="left" vertical="top"/>
    </xf>
    <xf numFmtId="164" fontId="1" fillId="0" borderId="0" applyFont="0" applyFill="0" applyBorder="0" applyProtection="0">
      <alignment horizontal="left" vertical="top"/>
    </xf>
    <xf numFmtId="164" fontId="1" fillId="0" borderId="0" applyFont="0" applyFill="0" applyBorder="0" applyProtection="0">
      <alignment horizontal="left" vertical="top"/>
    </xf>
  </cellStyleXfs>
  <cellXfs count="898">
    <xf numFmtId="0" fontId="0" fillId="0" borderId="0" xfId="0"/>
    <xf numFmtId="0" fontId="15" fillId="0" borderId="0" xfId="0" applyFont="1" applyFill="1" applyBorder="1"/>
    <xf numFmtId="0" fontId="30" fillId="0" borderId="0" xfId="0" applyFont="1" applyFill="1" applyBorder="1"/>
    <xf numFmtId="0" fontId="15" fillId="0" borderId="0" xfId="0" applyFont="1" applyFill="1"/>
    <xf numFmtId="0" fontId="11" fillId="0" borderId="0" xfId="0" applyFont="1" applyFill="1"/>
    <xf numFmtId="0" fontId="16" fillId="0" borderId="0" xfId="0" applyFont="1" applyFill="1" applyAlignment="1">
      <alignment horizontal="center"/>
    </xf>
    <xf numFmtId="0" fontId="8" fillId="0" borderId="0" xfId="0" applyFont="1" applyFill="1" applyAlignment="1">
      <alignment horizontal="right"/>
    </xf>
    <xf numFmtId="14" fontId="16" fillId="0" borderId="0" xfId="0" applyNumberFormat="1" applyFont="1" applyFill="1" applyAlignment="1">
      <alignment horizontal="left"/>
    </xf>
    <xf numFmtId="2" fontId="11" fillId="0" borderId="0" xfId="0" applyNumberFormat="1" applyFont="1" applyFill="1"/>
    <xf numFmtId="1" fontId="11" fillId="0" borderId="0" xfId="0" applyNumberFormat="1" applyFont="1" applyFill="1"/>
    <xf numFmtId="1" fontId="17" fillId="0" borderId="0" xfId="0" applyNumberFormat="1" applyFont="1" applyFill="1" applyBorder="1" applyAlignment="1">
      <alignment vertical="center"/>
    </xf>
    <xf numFmtId="0" fontId="5" fillId="0" borderId="0" xfId="0" applyFont="1" applyFill="1"/>
    <xf numFmtId="9" fontId="5" fillId="0" borderId="0" xfId="0" applyNumberFormat="1" applyFont="1" applyFill="1"/>
    <xf numFmtId="2" fontId="15" fillId="0" borderId="0" xfId="0" applyNumberFormat="1" applyFont="1" applyFill="1"/>
    <xf numFmtId="0" fontId="5" fillId="0" borderId="0" xfId="0" applyFont="1" applyFill="1" applyBorder="1"/>
    <xf numFmtId="0" fontId="4" fillId="0" borderId="2" xfId="0" applyFont="1" applyFill="1" applyBorder="1" applyAlignment="1">
      <alignment horizontal="center" vertical="top" wrapText="1"/>
    </xf>
    <xf numFmtId="0" fontId="4" fillId="0" borderId="2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left" vertical="center"/>
    </xf>
    <xf numFmtId="0" fontId="4" fillId="0" borderId="2" xfId="0" applyFont="1" applyFill="1" applyBorder="1" applyAlignment="1">
      <alignment horizontal="center" vertical="center" wrapText="1"/>
    </xf>
    <xf numFmtId="0" fontId="18" fillId="0" borderId="0" xfId="0" applyFont="1" applyFill="1" applyBorder="1" applyAlignment="1">
      <alignment horizontal="center" vertical="center"/>
    </xf>
    <xf numFmtId="9" fontId="15" fillId="0" borderId="0" xfId="0" applyNumberFormat="1" applyFont="1" applyFill="1"/>
    <xf numFmtId="0" fontId="5" fillId="0" borderId="2" xfId="0" applyFont="1" applyFill="1" applyBorder="1" applyAlignment="1">
      <alignment horizontal="center" vertical="center"/>
    </xf>
    <xf numFmtId="1" fontId="5" fillId="0" borderId="2" xfId="0" applyNumberFormat="1" applyFont="1" applyFill="1" applyBorder="1" applyAlignment="1">
      <alignment vertical="center" wrapText="1"/>
    </xf>
    <xf numFmtId="1" fontId="5" fillId="0" borderId="2" xfId="0" applyNumberFormat="1" applyFont="1" applyFill="1" applyBorder="1" applyAlignment="1">
      <alignment vertical="center"/>
    </xf>
    <xf numFmtId="1" fontId="5" fillId="0" borderId="2" xfId="0" applyNumberFormat="1" applyFont="1" applyFill="1" applyBorder="1" applyAlignment="1">
      <alignment horizontal="center" vertical="center"/>
    </xf>
    <xf numFmtId="9" fontId="5" fillId="0" borderId="2" xfId="2" applyFont="1" applyFill="1" applyBorder="1" applyAlignment="1">
      <alignment horizontal="center" vertical="center"/>
    </xf>
    <xf numFmtId="1" fontId="15" fillId="0" borderId="0" xfId="0" applyNumberFormat="1" applyFont="1" applyFill="1"/>
    <xf numFmtId="0" fontId="4" fillId="0" borderId="2" xfId="0" applyFont="1" applyFill="1" applyBorder="1" applyAlignment="1">
      <alignment horizontal="center"/>
    </xf>
    <xf numFmtId="1" fontId="4" fillId="0" borderId="2" xfId="0" applyNumberFormat="1" applyFont="1" applyFill="1" applyBorder="1" applyAlignment="1">
      <alignment horizontal="center"/>
    </xf>
    <xf numFmtId="1" fontId="5" fillId="0" borderId="0" xfId="0" applyNumberFormat="1" applyFont="1" applyFill="1" applyBorder="1" applyAlignment="1">
      <alignment horizontal="right"/>
    </xf>
    <xf numFmtId="1" fontId="5" fillId="0" borderId="0" xfId="0" applyNumberFormat="1" applyFont="1" applyFill="1" applyBorder="1" applyAlignment="1">
      <alignment horizontal="center"/>
    </xf>
    <xf numFmtId="0" fontId="5" fillId="0" borderId="0" xfId="0" applyFont="1" applyFill="1" applyAlignment="1">
      <alignment horizontal="left"/>
    </xf>
    <xf numFmtId="2" fontId="14" fillId="0" borderId="0" xfId="0" applyNumberFormat="1" applyFont="1" applyFill="1" applyBorder="1"/>
    <xf numFmtId="0" fontId="19" fillId="0" borderId="0" xfId="0" applyFont="1" applyFill="1"/>
    <xf numFmtId="0" fontId="19" fillId="0" borderId="0" xfId="0" applyFont="1" applyFill="1" applyAlignment="1">
      <alignment horizontal="left"/>
    </xf>
    <xf numFmtId="2" fontId="11" fillId="0" borderId="2" xfId="0" applyNumberFormat="1" applyFont="1" applyFill="1" applyBorder="1"/>
    <xf numFmtId="1" fontId="11" fillId="0" borderId="2" xfId="0" applyNumberFormat="1" applyFont="1" applyFill="1" applyBorder="1"/>
    <xf numFmtId="2" fontId="20" fillId="0" borderId="0" xfId="0" applyNumberFormat="1" applyFont="1" applyFill="1" applyBorder="1"/>
    <xf numFmtId="0" fontId="19" fillId="0" borderId="0" xfId="0" applyFont="1" applyFill="1" applyBorder="1" applyAlignment="1">
      <alignment horizontal="left"/>
    </xf>
    <xf numFmtId="1" fontId="19" fillId="0" borderId="0" xfId="0" applyNumberFormat="1" applyFont="1" applyFill="1"/>
    <xf numFmtId="0" fontId="8" fillId="0" borderId="0" xfId="0" applyFont="1" applyFill="1"/>
    <xf numFmtId="0" fontId="21" fillId="0" borderId="0" xfId="0" applyFont="1" applyFill="1"/>
    <xf numFmtId="0" fontId="4" fillId="0" borderId="0" xfId="0" applyFont="1" applyFill="1" applyBorder="1" applyAlignment="1">
      <alignment vertical="center" wrapText="1"/>
    </xf>
    <xf numFmtId="0" fontId="22" fillId="0" borderId="0" xfId="0" applyFont="1" applyFill="1"/>
    <xf numFmtId="1" fontId="17" fillId="0" borderId="0" xfId="0" applyNumberFormat="1" applyFont="1" applyFill="1" applyBorder="1" applyAlignment="1">
      <alignment horizontal="right" vertical="top"/>
    </xf>
    <xf numFmtId="1" fontId="17" fillId="0" borderId="0" xfId="0" applyNumberFormat="1" applyFont="1" applyFill="1" applyBorder="1" applyAlignment="1">
      <alignment vertical="top"/>
    </xf>
    <xf numFmtId="0" fontId="5" fillId="0" borderId="0" xfId="0" applyFont="1" applyFill="1" applyBorder="1" applyAlignment="1">
      <alignment vertical="center"/>
    </xf>
    <xf numFmtId="0" fontId="4" fillId="0" borderId="0" xfId="0" applyFont="1" applyFill="1" applyAlignment="1">
      <alignment horizontal="left"/>
    </xf>
    <xf numFmtId="2" fontId="5" fillId="0" borderId="0" xfId="0" applyNumberFormat="1" applyFont="1" applyFill="1"/>
    <xf numFmtId="1" fontId="5" fillId="0" borderId="0" xfId="0" applyNumberFormat="1" applyFont="1" applyFill="1"/>
    <xf numFmtId="0" fontId="5" fillId="0" borderId="2" xfId="0" applyFont="1" applyFill="1" applyBorder="1" applyAlignment="1">
      <alignment horizontal="center" vertical="center" wrapText="1"/>
    </xf>
    <xf numFmtId="9" fontId="5" fillId="0" borderId="2" xfId="0" applyNumberFormat="1" applyFont="1" applyFill="1" applyBorder="1" applyAlignment="1">
      <alignment horizontal="center" vertical="center"/>
    </xf>
    <xf numFmtId="1" fontId="4" fillId="0" borderId="2" xfId="0" applyNumberFormat="1" applyFont="1" applyFill="1" applyBorder="1"/>
    <xf numFmtId="0" fontId="12" fillId="0" borderId="0" xfId="0" applyFont="1" applyFill="1" applyBorder="1" applyAlignment="1">
      <alignment horizontal="center"/>
    </xf>
    <xf numFmtId="1" fontId="12" fillId="0" borderId="0" xfId="0" applyNumberFormat="1" applyFont="1" applyFill="1" applyBorder="1"/>
    <xf numFmtId="1" fontId="12" fillId="0" borderId="2" xfId="0" applyNumberFormat="1" applyFont="1" applyFill="1" applyBorder="1"/>
    <xf numFmtId="1" fontId="15" fillId="0" borderId="0" xfId="0" applyNumberFormat="1" applyFont="1" applyFill="1" applyBorder="1"/>
    <xf numFmtId="0" fontId="23" fillId="0" borderId="0" xfId="0" applyFont="1" applyFill="1" applyAlignment="1"/>
    <xf numFmtId="0" fontId="18" fillId="0" borderId="0" xfId="0" applyFont="1" applyFill="1" applyAlignment="1"/>
    <xf numFmtId="0" fontId="24" fillId="0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14" fontId="25" fillId="0" borderId="0" xfId="0" applyNumberFormat="1" applyFont="1" applyFill="1" applyAlignment="1">
      <alignment horizontal="left"/>
    </xf>
    <xf numFmtId="0" fontId="5" fillId="0" borderId="2" xfId="0" applyFont="1" applyFill="1" applyBorder="1"/>
    <xf numFmtId="1" fontId="5" fillId="0" borderId="2" xfId="0" applyNumberFormat="1" applyFont="1" applyFill="1" applyBorder="1"/>
    <xf numFmtId="9" fontId="5" fillId="0" borderId="2" xfId="2" applyFont="1" applyFill="1" applyBorder="1"/>
    <xf numFmtId="0" fontId="4" fillId="0" borderId="8" xfId="0" applyFont="1" applyFill="1" applyBorder="1" applyAlignment="1">
      <alignment vertical="top"/>
    </xf>
    <xf numFmtId="0" fontId="5" fillId="0" borderId="2" xfId="0" applyFont="1" applyFill="1" applyBorder="1" applyAlignment="1">
      <alignment wrapText="1"/>
    </xf>
    <xf numFmtId="1" fontId="5" fillId="0" borderId="2" xfId="0" applyNumberFormat="1" applyFont="1" applyFill="1" applyBorder="1" applyAlignment="1">
      <alignment horizontal="center" vertical="center" wrapText="1"/>
    </xf>
    <xf numFmtId="9" fontId="5" fillId="0" borderId="2" xfId="2" applyFont="1" applyFill="1" applyBorder="1" applyAlignment="1">
      <alignment vertical="center"/>
    </xf>
    <xf numFmtId="14" fontId="24" fillId="0" borderId="0" xfId="0" applyNumberFormat="1" applyFont="1" applyFill="1" applyAlignment="1">
      <alignment horizontal="left"/>
    </xf>
    <xf numFmtId="0" fontId="8" fillId="0" borderId="0" xfId="0" applyFont="1" applyFill="1" applyBorder="1" applyAlignment="1">
      <alignment vertical="center" wrapText="1"/>
    </xf>
    <xf numFmtId="1" fontId="26" fillId="0" borderId="0" xfId="0" applyNumberFormat="1" applyFont="1" applyFill="1" applyBorder="1" applyAlignment="1">
      <alignment horizontal="right" vertical="top"/>
    </xf>
    <xf numFmtId="1" fontId="26" fillId="0" borderId="0" xfId="0" applyNumberFormat="1" applyFont="1" applyFill="1" applyBorder="1" applyAlignment="1">
      <alignment vertical="top"/>
    </xf>
    <xf numFmtId="0" fontId="11" fillId="0" borderId="0" xfId="0" applyFont="1" applyFill="1" applyBorder="1" applyAlignment="1">
      <alignment vertical="center"/>
    </xf>
    <xf numFmtId="0" fontId="5" fillId="0" borderId="2" xfId="0" applyFont="1" applyFill="1" applyBorder="1" applyAlignment="1">
      <alignment vertical="center"/>
    </xf>
    <xf numFmtId="1" fontId="5" fillId="0" borderId="2" xfId="2" applyNumberFormat="1" applyFont="1" applyFill="1" applyBorder="1" applyAlignment="1">
      <alignment vertical="center"/>
    </xf>
    <xf numFmtId="1" fontId="4" fillId="0" borderId="2" xfId="0" applyNumberFormat="1" applyFont="1" applyFill="1" applyBorder="1" applyAlignment="1">
      <alignment vertical="center"/>
    </xf>
    <xf numFmtId="0" fontId="18" fillId="0" borderId="0" xfId="0" applyFont="1" applyFill="1"/>
    <xf numFmtId="2" fontId="19" fillId="0" borderId="0" xfId="0" applyNumberFormat="1" applyFont="1" applyFill="1"/>
    <xf numFmtId="0" fontId="16" fillId="0" borderId="0" xfId="0" applyFont="1" applyFill="1" applyBorder="1" applyAlignment="1">
      <alignment horizontal="center"/>
    </xf>
    <xf numFmtId="0" fontId="12" fillId="0" borderId="0" xfId="0" applyFont="1" applyFill="1" applyBorder="1" applyAlignment="1">
      <alignment vertical="center" wrapText="1"/>
    </xf>
    <xf numFmtId="1" fontId="27" fillId="0" borderId="0" xfId="0" applyNumberFormat="1" applyFont="1" applyFill="1" applyBorder="1" applyAlignment="1">
      <alignment horizontal="right" vertical="top"/>
    </xf>
    <xf numFmtId="1" fontId="27" fillId="0" borderId="0" xfId="0" applyNumberFormat="1" applyFont="1" applyFill="1" applyBorder="1" applyAlignment="1">
      <alignment vertical="top"/>
    </xf>
    <xf numFmtId="0" fontId="12" fillId="0" borderId="2" xfId="0" applyFont="1" applyFill="1" applyBorder="1" applyAlignment="1">
      <alignment horizontal="center" vertical="top" wrapText="1"/>
    </xf>
    <xf numFmtId="0" fontId="12" fillId="0" borderId="3" xfId="0" applyFont="1" applyFill="1" applyBorder="1" applyAlignment="1">
      <alignment horizontal="center" vertical="top" wrapText="1"/>
    </xf>
    <xf numFmtId="0" fontId="12" fillId="0" borderId="8" xfId="0" applyFont="1" applyFill="1" applyBorder="1" applyAlignment="1">
      <alignment horizontal="center" vertical="center"/>
    </xf>
    <xf numFmtId="0" fontId="12" fillId="0" borderId="9" xfId="0" applyFont="1" applyFill="1" applyBorder="1" applyAlignment="1">
      <alignment horizontal="center" vertical="center"/>
    </xf>
    <xf numFmtId="0" fontId="12" fillId="0" borderId="10" xfId="0" applyFont="1" applyFill="1" applyBorder="1" applyAlignment="1">
      <alignment horizontal="center" vertical="center"/>
    </xf>
    <xf numFmtId="0" fontId="12" fillId="0" borderId="2" xfId="0" applyFont="1" applyFill="1" applyBorder="1" applyAlignment="1">
      <alignment horizontal="center" vertical="center" wrapText="1"/>
    </xf>
    <xf numFmtId="0" fontId="11" fillId="0" borderId="2" xfId="0" applyFont="1" applyFill="1" applyBorder="1" applyAlignment="1">
      <alignment horizontal="center" vertical="center"/>
    </xf>
    <xf numFmtId="1" fontId="11" fillId="0" borderId="3" xfId="0" applyNumberFormat="1" applyFont="1" applyFill="1" applyBorder="1" applyAlignment="1">
      <alignment horizontal="center" vertical="center"/>
    </xf>
    <xf numFmtId="1" fontId="11" fillId="0" borderId="3" xfId="0" applyNumberFormat="1" applyFont="1" applyFill="1" applyBorder="1" applyAlignment="1">
      <alignment vertical="center"/>
    </xf>
    <xf numFmtId="1" fontId="11" fillId="0" borderId="5" xfId="0" applyNumberFormat="1" applyFont="1" applyFill="1" applyBorder="1" applyAlignment="1">
      <alignment vertical="center" wrapText="1"/>
    </xf>
    <xf numFmtId="1" fontId="11" fillId="0" borderId="4" xfId="0" applyNumberFormat="1" applyFont="1" applyFill="1" applyBorder="1" applyAlignment="1">
      <alignment vertical="center" wrapText="1"/>
    </xf>
    <xf numFmtId="1" fontId="11" fillId="0" borderId="4" xfId="0" applyNumberFormat="1" applyFont="1" applyFill="1" applyBorder="1" applyAlignment="1">
      <alignment horizontal="center" vertical="center"/>
    </xf>
    <xf numFmtId="1" fontId="11" fillId="0" borderId="2" xfId="0" applyNumberFormat="1" applyFont="1" applyFill="1" applyBorder="1" applyAlignment="1">
      <alignment horizontal="left" vertical="center"/>
    </xf>
    <xf numFmtId="1" fontId="11" fillId="0" borderId="2" xfId="2" applyNumberFormat="1" applyFont="1" applyFill="1" applyBorder="1" applyAlignment="1">
      <alignment vertical="center"/>
    </xf>
    <xf numFmtId="1" fontId="4" fillId="0" borderId="4" xfId="0" applyNumberFormat="1" applyFont="1" applyFill="1" applyBorder="1" applyAlignment="1">
      <alignment vertical="center"/>
    </xf>
    <xf numFmtId="0" fontId="28" fillId="0" borderId="0" xfId="0" applyFont="1" applyFill="1"/>
    <xf numFmtId="1" fontId="5" fillId="0" borderId="2" xfId="0" applyNumberFormat="1" applyFont="1" applyFill="1" applyBorder="1" applyAlignment="1">
      <alignment horizontal="right" vertical="center"/>
    </xf>
    <xf numFmtId="1" fontId="4" fillId="0" borderId="2" xfId="0" applyNumberFormat="1" applyFont="1" applyFill="1" applyBorder="1" applyAlignment="1">
      <alignment horizontal="right"/>
    </xf>
    <xf numFmtId="0" fontId="14" fillId="0" borderId="0" xfId="0" applyFont="1" applyFill="1" applyAlignment="1">
      <alignment horizontal="right"/>
    </xf>
    <xf numFmtId="0" fontId="29" fillId="0" borderId="0" xfId="0" applyFont="1" applyFill="1"/>
    <xf numFmtId="0" fontId="4" fillId="0" borderId="0" xfId="0" applyFont="1" applyFill="1" applyAlignment="1">
      <alignment horizontal="right"/>
    </xf>
    <xf numFmtId="165" fontId="8" fillId="0" borderId="0" xfId="0" applyNumberFormat="1" applyFont="1" applyFill="1" applyAlignment="1">
      <alignment horizontal="left"/>
    </xf>
    <xf numFmtId="0" fontId="12" fillId="0" borderId="2" xfId="0" applyFont="1" applyFill="1" applyBorder="1" applyAlignment="1">
      <alignment horizontal="center" wrapText="1"/>
    </xf>
    <xf numFmtId="0" fontId="12" fillId="0" borderId="5" xfId="0" applyFont="1" applyFill="1" applyBorder="1" applyAlignment="1">
      <alignment vertical="center"/>
    </xf>
    <xf numFmtId="0" fontId="11" fillId="0" borderId="2" xfId="0" applyFont="1" applyFill="1" applyBorder="1"/>
    <xf numFmtId="0" fontId="11" fillId="0" borderId="2" xfId="0" applyFont="1" applyFill="1" applyBorder="1" applyAlignment="1">
      <alignment horizontal="left"/>
    </xf>
    <xf numFmtId="0" fontId="10" fillId="0" borderId="5" xfId="0" applyFont="1" applyFill="1" applyBorder="1" applyAlignment="1">
      <alignment horizontal="left"/>
    </xf>
    <xf numFmtId="0" fontId="10" fillId="0" borderId="4" xfId="0" applyFont="1" applyFill="1" applyBorder="1" applyAlignment="1"/>
    <xf numFmtId="0" fontId="7" fillId="0" borderId="2" xfId="0" applyFont="1" applyFill="1" applyBorder="1"/>
    <xf numFmtId="0" fontId="8" fillId="0" borderId="3" xfId="0" applyFont="1" applyFill="1" applyBorder="1" applyAlignment="1"/>
    <xf numFmtId="0" fontId="8" fillId="0" borderId="5" xfId="0" applyFont="1" applyFill="1" applyBorder="1" applyAlignment="1"/>
    <xf numFmtId="0" fontId="8" fillId="0" borderId="4" xfId="0" applyFont="1" applyFill="1" applyBorder="1" applyAlignment="1"/>
    <xf numFmtId="0" fontId="10" fillId="0" borderId="2" xfId="0" applyFont="1" applyFill="1" applyBorder="1" applyAlignment="1">
      <alignment horizontal="center"/>
    </xf>
    <xf numFmtId="164" fontId="4" fillId="0" borderId="2" xfId="1" applyNumberFormat="1" applyFont="1" applyFill="1" applyBorder="1"/>
    <xf numFmtId="0" fontId="8" fillId="0" borderId="2" xfId="0" applyFont="1" applyFill="1" applyBorder="1"/>
    <xf numFmtId="1" fontId="5" fillId="0" borderId="3" xfId="0" applyNumberFormat="1" applyFont="1" applyFill="1" applyBorder="1" applyAlignment="1"/>
    <xf numFmtId="1" fontId="5" fillId="0" borderId="5" xfId="0" applyNumberFormat="1" applyFont="1" applyFill="1" applyBorder="1" applyAlignment="1"/>
    <xf numFmtId="1" fontId="5" fillId="0" borderId="4" xfId="0" applyNumberFormat="1" applyFont="1" applyFill="1" applyBorder="1" applyAlignment="1"/>
    <xf numFmtId="164" fontId="5" fillId="0" borderId="2" xfId="1" applyNumberFormat="1" applyFont="1" applyFill="1" applyBorder="1"/>
    <xf numFmtId="0" fontId="5" fillId="0" borderId="6" xfId="0" applyFont="1" applyFill="1" applyBorder="1" applyAlignment="1"/>
    <xf numFmtId="0" fontId="5" fillId="0" borderId="1" xfId="0" applyFont="1" applyFill="1" applyBorder="1" applyAlignment="1"/>
    <xf numFmtId="0" fontId="5" fillId="0" borderId="0" xfId="0" applyFont="1" applyFill="1" applyBorder="1" applyAlignment="1">
      <alignment horizontal="center"/>
    </xf>
    <xf numFmtId="164" fontId="4" fillId="0" borderId="2" xfId="0" applyNumberFormat="1" applyFont="1" applyFill="1" applyBorder="1" applyAlignment="1">
      <alignment horizontal="left"/>
    </xf>
    <xf numFmtId="0" fontId="12" fillId="0" borderId="3" xfId="0" applyFont="1" applyFill="1" applyBorder="1" applyAlignment="1"/>
    <xf numFmtId="0" fontId="7" fillId="0" borderId="5" xfId="0" applyFont="1" applyFill="1" applyBorder="1" applyAlignment="1"/>
    <xf numFmtId="0" fontId="5" fillId="0" borderId="5" xfId="0" applyFont="1" applyFill="1" applyBorder="1" applyAlignment="1"/>
    <xf numFmtId="0" fontId="7" fillId="0" borderId="4" xfId="0" applyFont="1" applyFill="1" applyBorder="1" applyAlignment="1"/>
    <xf numFmtId="0" fontId="4" fillId="0" borderId="0" xfId="0" applyFont="1" applyFill="1"/>
    <xf numFmtId="0" fontId="6" fillId="0" borderId="0" xfId="0" applyFont="1" applyFill="1"/>
    <xf numFmtId="0" fontId="29" fillId="0" borderId="0" xfId="0" applyFont="1" applyFill="1" applyAlignment="1"/>
    <xf numFmtId="0" fontId="31" fillId="0" borderId="0" xfId="0" applyFont="1" applyFill="1" applyAlignment="1"/>
    <xf numFmtId="14" fontId="8" fillId="0" borderId="0" xfId="0" applyNumberFormat="1" applyFont="1" applyFill="1" applyAlignment="1">
      <alignment horizontal="left"/>
    </xf>
    <xf numFmtId="0" fontId="11" fillId="0" borderId="3" xfId="0" applyFont="1" applyFill="1" applyBorder="1" applyAlignment="1"/>
    <xf numFmtId="0" fontId="10" fillId="0" borderId="5" xfId="0" applyFont="1" applyFill="1" applyBorder="1" applyAlignment="1"/>
    <xf numFmtId="0" fontId="11" fillId="0" borderId="5" xfId="0" applyFont="1" applyFill="1" applyBorder="1" applyAlignment="1"/>
    <xf numFmtId="0" fontId="11" fillId="0" borderId="4" xfId="0" applyFont="1" applyFill="1" applyBorder="1" applyAlignment="1"/>
    <xf numFmtId="3" fontId="5" fillId="0" borderId="2" xfId="0" applyNumberFormat="1" applyFont="1" applyFill="1" applyBorder="1"/>
    <xf numFmtId="0" fontId="5" fillId="0" borderId="3" xfId="0" applyFont="1" applyFill="1" applyBorder="1" applyAlignment="1"/>
    <xf numFmtId="0" fontId="11" fillId="0" borderId="6" xfId="0" applyFont="1" applyFill="1" applyBorder="1" applyAlignment="1"/>
    <xf numFmtId="0" fontId="11" fillId="0" borderId="1" xfId="0" applyFont="1" applyFill="1" applyBorder="1" applyAlignment="1"/>
    <xf numFmtId="3" fontId="11" fillId="0" borderId="2" xfId="0" applyNumberFormat="1" applyFont="1" applyFill="1" applyBorder="1" applyAlignment="1">
      <alignment horizontal="right"/>
    </xf>
    <xf numFmtId="164" fontId="4" fillId="0" borderId="2" xfId="0" applyNumberFormat="1" applyFont="1" applyFill="1" applyBorder="1" applyAlignment="1">
      <alignment horizontal="right"/>
    </xf>
    <xf numFmtId="0" fontId="10" fillId="0" borderId="3" xfId="0" applyFont="1" applyFill="1" applyBorder="1" applyAlignment="1"/>
    <xf numFmtId="0" fontId="9" fillId="0" borderId="2" xfId="0" applyFont="1" applyFill="1" applyBorder="1"/>
    <xf numFmtId="17" fontId="5" fillId="0" borderId="3" xfId="0" applyNumberFormat="1" applyFont="1" applyFill="1" applyBorder="1" applyAlignment="1"/>
    <xf numFmtId="0" fontId="5" fillId="0" borderId="4" xfId="0" applyFont="1" applyFill="1" applyBorder="1" applyAlignment="1"/>
    <xf numFmtId="0" fontId="6" fillId="0" borderId="3" xfId="0" applyFont="1" applyFill="1" applyBorder="1" applyAlignment="1"/>
    <xf numFmtId="0" fontId="8" fillId="0" borderId="3" xfId="0" applyFont="1" applyFill="1" applyBorder="1" applyAlignment="1">
      <alignment horizontal="left"/>
    </xf>
    <xf numFmtId="0" fontId="8" fillId="0" borderId="5" xfId="0" applyFont="1" applyFill="1" applyBorder="1" applyAlignment="1">
      <alignment horizontal="left"/>
    </xf>
    <xf numFmtId="0" fontId="8" fillId="0" borderId="4" xfId="0" applyFont="1" applyFill="1" applyBorder="1" applyAlignment="1">
      <alignment horizontal="left"/>
    </xf>
    <xf numFmtId="0" fontId="11" fillId="0" borderId="2" xfId="0" applyFont="1" applyFill="1" applyBorder="1" applyAlignment="1">
      <alignment horizontal="center"/>
    </xf>
    <xf numFmtId="0" fontId="29" fillId="0" borderId="3" xfId="0" applyFont="1" applyFill="1" applyBorder="1"/>
    <xf numFmtId="0" fontId="29" fillId="0" borderId="5" xfId="0" applyFont="1" applyFill="1" applyBorder="1"/>
    <xf numFmtId="0" fontId="7" fillId="0" borderId="3" xfId="0" applyFont="1" applyFill="1" applyBorder="1" applyAlignment="1"/>
    <xf numFmtId="0" fontId="32" fillId="0" borderId="5" xfId="0" applyFont="1" applyFill="1" applyBorder="1" applyAlignment="1"/>
    <xf numFmtId="0" fontId="32" fillId="0" borderId="4" xfId="0" applyFont="1" applyFill="1" applyBorder="1" applyAlignment="1"/>
    <xf numFmtId="17" fontId="11" fillId="0" borderId="3" xfId="0" applyNumberFormat="1" applyFont="1" applyFill="1" applyBorder="1" applyAlignment="1"/>
    <xf numFmtId="0" fontId="11" fillId="0" borderId="4" xfId="0" applyFont="1" applyFill="1" applyBorder="1"/>
    <xf numFmtId="17" fontId="5" fillId="0" borderId="6" xfId="0" applyNumberFormat="1" applyFont="1" applyFill="1" applyBorder="1" applyAlignment="1"/>
    <xf numFmtId="17" fontId="5" fillId="0" borderId="1" xfId="0" applyNumberFormat="1" applyFont="1" applyFill="1" applyBorder="1" applyAlignment="1"/>
    <xf numFmtId="17" fontId="5" fillId="0" borderId="14" xfId="0" applyNumberFormat="1" applyFont="1" applyFill="1" applyBorder="1" applyAlignment="1"/>
    <xf numFmtId="0" fontId="5" fillId="0" borderId="8" xfId="0" applyFont="1" applyFill="1" applyBorder="1" applyAlignment="1"/>
    <xf numFmtId="0" fontId="8" fillId="0" borderId="9" xfId="0" applyFont="1" applyFill="1" applyBorder="1" applyAlignment="1"/>
    <xf numFmtId="0" fontId="8" fillId="0" borderId="10" xfId="0" applyFont="1" applyFill="1" applyBorder="1" applyAlignment="1"/>
    <xf numFmtId="0" fontId="11" fillId="0" borderId="8" xfId="0" applyFont="1" applyFill="1" applyBorder="1" applyAlignment="1"/>
    <xf numFmtId="0" fontId="11" fillId="0" borderId="9" xfId="0" applyFont="1" applyFill="1" applyBorder="1" applyAlignment="1"/>
    <xf numFmtId="0" fontId="11" fillId="0" borderId="10" xfId="0" applyFont="1" applyFill="1" applyBorder="1" applyAlignment="1"/>
    <xf numFmtId="0" fontId="11" fillId="0" borderId="14" xfId="0" applyFont="1" applyFill="1" applyBorder="1" applyAlignment="1"/>
    <xf numFmtId="0" fontId="13" fillId="0" borderId="5" xfId="0" applyFont="1" applyFill="1" applyBorder="1" applyAlignment="1"/>
    <xf numFmtId="0" fontId="8" fillId="0" borderId="2" xfId="0" applyFont="1" applyFill="1" applyBorder="1" applyAlignment="1">
      <alignment horizontal="center"/>
    </xf>
    <xf numFmtId="43" fontId="11" fillId="0" borderId="2" xfId="0" applyNumberFormat="1" applyFont="1" applyFill="1" applyBorder="1"/>
    <xf numFmtId="0" fontId="9" fillId="0" borderId="3" xfId="0" applyFont="1" applyFill="1" applyBorder="1" applyAlignment="1"/>
    <xf numFmtId="1" fontId="9" fillId="0" borderId="5" xfId="0" applyNumberFormat="1" applyFont="1" applyFill="1" applyBorder="1" applyAlignment="1">
      <alignment horizontal="left"/>
    </xf>
    <xf numFmtId="0" fontId="10" fillId="0" borderId="3" xfId="0" applyFont="1" applyFill="1" applyBorder="1" applyAlignment="1">
      <alignment horizontal="right"/>
    </xf>
    <xf numFmtId="0" fontId="32" fillId="0" borderId="3" xfId="0" applyFont="1" applyFill="1" applyBorder="1" applyAlignment="1"/>
    <xf numFmtId="0" fontId="8" fillId="0" borderId="5" xfId="0" applyFont="1" applyFill="1" applyBorder="1" applyAlignment="1">
      <alignment vertical="center"/>
    </xf>
    <xf numFmtId="1" fontId="33" fillId="0" borderId="3" xfId="0" applyNumberFormat="1" applyFont="1" applyFill="1" applyBorder="1"/>
    <xf numFmtId="0" fontId="15" fillId="0" borderId="5" xfId="0" applyFont="1" applyFill="1" applyBorder="1"/>
    <xf numFmtId="1" fontId="5" fillId="0" borderId="1" xfId="0" applyNumberFormat="1" applyFont="1" applyFill="1" applyBorder="1" applyAlignment="1"/>
    <xf numFmtId="1" fontId="29" fillId="0" borderId="0" xfId="0" applyNumberFormat="1" applyFont="1" applyFill="1" applyAlignment="1"/>
    <xf numFmtId="164" fontId="11" fillId="0" borderId="2" xfId="0" applyNumberFormat="1" applyFont="1" applyFill="1" applyBorder="1" applyAlignment="1">
      <alignment horizontal="left"/>
    </xf>
    <xf numFmtId="0" fontId="15" fillId="0" borderId="4" xfId="0" applyFont="1" applyFill="1" applyBorder="1"/>
    <xf numFmtId="1" fontId="8" fillId="0" borderId="6" xfId="0" applyNumberFormat="1" applyFont="1" applyFill="1" applyBorder="1" applyAlignment="1"/>
    <xf numFmtId="0" fontId="8" fillId="0" borderId="1" xfId="0" applyFont="1" applyFill="1" applyBorder="1" applyAlignment="1"/>
    <xf numFmtId="1" fontId="8" fillId="0" borderId="3" xfId="0" applyNumberFormat="1" applyFont="1" applyFill="1" applyBorder="1" applyAlignment="1"/>
    <xf numFmtId="43" fontId="4" fillId="0" borderId="2" xfId="0" applyNumberFormat="1" applyFont="1" applyFill="1" applyBorder="1" applyAlignment="1">
      <alignment horizontal="right"/>
    </xf>
    <xf numFmtId="1" fontId="9" fillId="0" borderId="5" xfId="0" applyNumberFormat="1" applyFont="1" applyFill="1" applyBorder="1" applyAlignment="1"/>
    <xf numFmtId="1" fontId="11" fillId="0" borderId="4" xfId="0" applyNumberFormat="1" applyFont="1" applyFill="1" applyBorder="1" applyAlignment="1"/>
    <xf numFmtId="0" fontId="10" fillId="0" borderId="5" xfId="0" applyFont="1" applyFill="1" applyBorder="1" applyAlignment="1">
      <alignment horizontal="right"/>
    </xf>
    <xf numFmtId="43" fontId="4" fillId="0" borderId="2" xfId="0" applyNumberFormat="1" applyFont="1" applyFill="1" applyBorder="1" applyAlignment="1">
      <alignment horizontal="left"/>
    </xf>
    <xf numFmtId="0" fontId="29" fillId="0" borderId="0" xfId="0" applyFont="1" applyFill="1" applyAlignment="1">
      <alignment horizontal="left"/>
    </xf>
    <xf numFmtId="0" fontId="12" fillId="0" borderId="5" xfId="0" applyFont="1" applyFill="1" applyBorder="1" applyAlignment="1"/>
    <xf numFmtId="1" fontId="11" fillId="0" borderId="2" xfId="0" applyNumberFormat="1" applyFont="1" applyFill="1" applyBorder="1" applyAlignment="1">
      <alignment horizontal="right"/>
    </xf>
    <xf numFmtId="1" fontId="8" fillId="0" borderId="2" xfId="0" applyNumberFormat="1" applyFont="1" applyFill="1" applyBorder="1" applyAlignment="1">
      <alignment horizontal="right"/>
    </xf>
    <xf numFmtId="0" fontId="9" fillId="0" borderId="3" xfId="0" applyFont="1" applyFill="1" applyBorder="1"/>
    <xf numFmtId="0" fontId="29" fillId="0" borderId="0" xfId="0" applyFont="1" applyFill="1" applyAlignment="1">
      <alignment horizontal="center"/>
    </xf>
    <xf numFmtId="1" fontId="5" fillId="0" borderId="6" xfId="0" applyNumberFormat="1" applyFont="1" applyFill="1" applyBorder="1" applyAlignment="1"/>
    <xf numFmtId="0" fontId="15" fillId="0" borderId="1" xfId="0" applyFont="1" applyFill="1" applyBorder="1"/>
    <xf numFmtId="0" fontId="29" fillId="0" borderId="1" xfId="0" applyFont="1" applyFill="1" applyBorder="1"/>
    <xf numFmtId="0" fontId="15" fillId="0" borderId="3" xfId="0" applyFont="1" applyFill="1" applyBorder="1"/>
    <xf numFmtId="0" fontId="7" fillId="0" borderId="2" xfId="0" applyFont="1" applyFill="1" applyBorder="1" applyAlignment="1"/>
    <xf numFmtId="0" fontId="29" fillId="0" borderId="0" xfId="0" applyFont="1" applyFill="1" applyBorder="1"/>
    <xf numFmtId="0" fontId="14" fillId="0" borderId="0" xfId="0" applyFont="1" applyFill="1" applyBorder="1" applyAlignment="1">
      <alignment horizontal="right"/>
    </xf>
    <xf numFmtId="165" fontId="8" fillId="0" borderId="0" xfId="0" applyNumberFormat="1" applyFont="1" applyFill="1" applyBorder="1" applyAlignment="1">
      <alignment horizontal="left"/>
    </xf>
    <xf numFmtId="0" fontId="12" fillId="0" borderId="0" xfId="0" applyFont="1" applyFill="1" applyBorder="1" applyAlignment="1">
      <alignment horizontal="center" vertical="center" wrapText="1"/>
    </xf>
    <xf numFmtId="0" fontId="11" fillId="0" borderId="0" xfId="0" applyFont="1" applyFill="1" applyBorder="1"/>
    <xf numFmtId="0" fontId="32" fillId="0" borderId="3" xfId="0" applyFont="1" applyFill="1" applyBorder="1" applyAlignment="1">
      <alignment vertical="center"/>
    </xf>
    <xf numFmtId="0" fontId="8" fillId="0" borderId="0" xfId="0" applyFont="1" applyFill="1" applyBorder="1"/>
    <xf numFmtId="0" fontId="34" fillId="0" borderId="8" xfId="0" applyFont="1" applyFill="1" applyBorder="1" applyAlignment="1"/>
    <xf numFmtId="164" fontId="29" fillId="0" borderId="0" xfId="0" applyNumberFormat="1" applyFont="1" applyFill="1"/>
    <xf numFmtId="0" fontId="7" fillId="0" borderId="0" xfId="0" applyFont="1" applyFill="1" applyBorder="1" applyAlignment="1"/>
    <xf numFmtId="164" fontId="29" fillId="0" borderId="0" xfId="0" applyNumberFormat="1" applyFont="1" applyFill="1" applyAlignment="1"/>
    <xf numFmtId="164" fontId="4" fillId="0" borderId="2" xfId="1" applyNumberFormat="1" applyFont="1" applyFill="1" applyBorder="1" applyAlignment="1">
      <alignment horizontal="right"/>
    </xf>
    <xf numFmtId="0" fontId="5" fillId="0" borderId="6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5" fillId="0" borderId="14" xfId="0" applyFont="1" applyFill="1" applyBorder="1" applyAlignment="1">
      <alignment horizontal="left"/>
    </xf>
    <xf numFmtId="0" fontId="12" fillId="0" borderId="5" xfId="0" applyFont="1" applyFill="1" applyBorder="1" applyAlignment="1">
      <alignment horizontal="center" vertical="center"/>
    </xf>
    <xf numFmtId="164" fontId="8" fillId="0" borderId="2" xfId="1" applyNumberFormat="1" applyFont="1" applyFill="1" applyBorder="1" applyAlignment="1">
      <alignment horizontal="right"/>
    </xf>
    <xf numFmtId="0" fontId="32" fillId="0" borderId="8" xfId="0" applyFont="1" applyFill="1" applyBorder="1" applyAlignment="1"/>
    <xf numFmtId="0" fontId="12" fillId="0" borderId="9" xfId="0" applyFont="1" applyFill="1" applyBorder="1" applyAlignment="1"/>
    <xf numFmtId="0" fontId="32" fillId="0" borderId="9" xfId="0" applyFont="1" applyFill="1" applyBorder="1" applyAlignment="1"/>
    <xf numFmtId="0" fontId="32" fillId="0" borderId="10" xfId="0" applyFont="1" applyFill="1" applyBorder="1" applyAlignment="1"/>
    <xf numFmtId="1" fontId="5" fillId="0" borderId="14" xfId="0" applyNumberFormat="1" applyFont="1" applyFill="1" applyBorder="1" applyAlignment="1"/>
    <xf numFmtId="1" fontId="33" fillId="0" borderId="6" xfId="0" applyNumberFormat="1" applyFont="1" applyFill="1" applyBorder="1"/>
    <xf numFmtId="0" fontId="18" fillId="0" borderId="5" xfId="0" applyFont="1" applyFill="1" applyBorder="1" applyAlignment="1">
      <alignment vertical="center"/>
    </xf>
    <xf numFmtId="0" fontId="32" fillId="0" borderId="5" xfId="0" applyFont="1" applyFill="1" applyBorder="1" applyAlignment="1">
      <alignment vertical="center"/>
    </xf>
    <xf numFmtId="0" fontId="32" fillId="0" borderId="4" xfId="0" applyFont="1" applyFill="1" applyBorder="1" applyAlignment="1">
      <alignment vertical="center"/>
    </xf>
    <xf numFmtId="0" fontId="10" fillId="0" borderId="2" xfId="0" applyFont="1" applyFill="1" applyBorder="1" applyAlignment="1">
      <alignment horizontal="center" vertical="center"/>
    </xf>
    <xf numFmtId="1" fontId="4" fillId="0" borderId="2" xfId="0" applyNumberFormat="1" applyFont="1" applyFill="1" applyBorder="1" applyAlignment="1">
      <alignment horizontal="right" vertical="center"/>
    </xf>
    <xf numFmtId="0" fontId="8" fillId="0" borderId="2" xfId="0" applyFont="1" applyFill="1" applyBorder="1" applyAlignment="1">
      <alignment vertical="center"/>
    </xf>
    <xf numFmtId="0" fontId="8" fillId="0" borderId="5" xfId="0" applyFont="1" applyFill="1" applyBorder="1" applyAlignment="1">
      <alignment horizontal="center" vertical="center"/>
    </xf>
    <xf numFmtId="164" fontId="4" fillId="0" borderId="2" xfId="1" applyNumberFormat="1" applyFont="1" applyFill="1" applyBorder="1" applyAlignment="1">
      <alignment horizontal="right" vertical="center"/>
    </xf>
    <xf numFmtId="0" fontId="11" fillId="0" borderId="3" xfId="0" applyFont="1" applyFill="1" applyBorder="1" applyAlignment="1">
      <alignment vertical="center"/>
    </xf>
    <xf numFmtId="1" fontId="5" fillId="0" borderId="5" xfId="0" applyNumberFormat="1" applyFont="1" applyFill="1" applyBorder="1" applyAlignment="1">
      <alignment vertical="center"/>
    </xf>
    <xf numFmtId="3" fontId="10" fillId="0" borderId="5" xfId="0" applyNumberFormat="1" applyFont="1" applyFill="1" applyBorder="1" applyAlignment="1">
      <alignment horizontal="left"/>
    </xf>
    <xf numFmtId="164" fontId="8" fillId="0" borderId="2" xfId="0" applyNumberFormat="1" applyFont="1" applyFill="1" applyBorder="1" applyAlignment="1">
      <alignment horizontal="left"/>
    </xf>
    <xf numFmtId="3" fontId="8" fillId="0" borderId="2" xfId="0" applyNumberFormat="1" applyFont="1" applyFill="1" applyBorder="1" applyAlignment="1">
      <alignment horizontal="right"/>
    </xf>
    <xf numFmtId="0" fontId="8" fillId="0" borderId="0" xfId="0" applyFont="1" applyFill="1" applyAlignment="1"/>
    <xf numFmtId="0" fontId="35" fillId="0" borderId="0" xfId="0" applyFont="1" applyFill="1" applyAlignment="1"/>
    <xf numFmtId="0" fontId="35" fillId="0" borderId="0" xfId="0" applyFont="1" applyFill="1" applyAlignment="1">
      <alignment horizontal="center"/>
    </xf>
    <xf numFmtId="1" fontId="15" fillId="0" borderId="2" xfId="0" applyNumberFormat="1" applyFont="1" applyFill="1" applyBorder="1"/>
    <xf numFmtId="0" fontId="15" fillId="0" borderId="2" xfId="0" applyFont="1" applyFill="1" applyBorder="1" applyAlignment="1">
      <alignment horizontal="center"/>
    </xf>
    <xf numFmtId="2" fontId="15" fillId="0" borderId="3" xfId="0" applyNumberFormat="1" applyFont="1" applyFill="1" applyBorder="1" applyAlignment="1"/>
    <xf numFmtId="2" fontId="15" fillId="0" borderId="5" xfId="0" applyNumberFormat="1" applyFont="1" applyFill="1" applyBorder="1" applyAlignment="1"/>
    <xf numFmtId="1" fontId="15" fillId="0" borderId="2" xfId="0" applyNumberFormat="1" applyFont="1" applyFill="1" applyBorder="1" applyAlignment="1">
      <alignment horizontal="center"/>
    </xf>
    <xf numFmtId="1" fontId="12" fillId="0" borderId="2" xfId="0" applyNumberFormat="1" applyFont="1" applyFill="1" applyBorder="1" applyAlignment="1">
      <alignment horizontal="right"/>
    </xf>
    <xf numFmtId="1" fontId="15" fillId="0" borderId="2" xfId="0" applyNumberFormat="1" applyFont="1" applyFill="1" applyBorder="1" applyAlignment="1">
      <alignment horizontal="right"/>
    </xf>
    <xf numFmtId="1" fontId="8" fillId="0" borderId="2" xfId="0" applyNumberFormat="1" applyFont="1" applyFill="1" applyBorder="1"/>
    <xf numFmtId="1" fontId="8" fillId="0" borderId="0" xfId="0" applyNumberFormat="1" applyFont="1" applyFill="1" applyAlignment="1"/>
    <xf numFmtId="0" fontId="15" fillId="0" borderId="0" xfId="0" applyFont="1" applyFill="1" applyAlignment="1"/>
    <xf numFmtId="0" fontId="36" fillId="0" borderId="2" xfId="0" applyFont="1" applyFill="1" applyBorder="1" applyAlignment="1">
      <alignment horizontal="center" vertical="center"/>
    </xf>
    <xf numFmtId="0" fontId="36" fillId="0" borderId="2" xfId="0" applyFont="1" applyFill="1" applyBorder="1" applyAlignment="1">
      <alignment horizontal="center" vertical="center" wrapText="1"/>
    </xf>
    <xf numFmtId="2" fontId="15" fillId="0" borderId="4" xfId="0" applyNumberFormat="1" applyFont="1" applyFill="1" applyBorder="1" applyAlignment="1"/>
    <xf numFmtId="1" fontId="12" fillId="0" borderId="12" xfId="0" applyNumberFormat="1" applyFont="1" applyFill="1" applyBorder="1" applyAlignment="1">
      <alignment horizontal="right"/>
    </xf>
    <xf numFmtId="14" fontId="8" fillId="0" borderId="0" xfId="0" applyNumberFormat="1" applyFont="1" applyFill="1" applyAlignment="1"/>
    <xf numFmtId="0" fontId="37" fillId="0" borderId="13" xfId="0" applyFont="1" applyFill="1" applyBorder="1" applyAlignment="1">
      <alignment horizontal="center" vertical="center"/>
    </xf>
    <xf numFmtId="0" fontId="6" fillId="0" borderId="13" xfId="0" applyFont="1" applyFill="1" applyBorder="1" applyAlignment="1">
      <alignment vertical="center" wrapText="1"/>
    </xf>
    <xf numFmtId="0" fontId="37" fillId="0" borderId="2" xfId="0" applyFont="1" applyFill="1" applyBorder="1" applyAlignment="1">
      <alignment horizontal="center" vertical="center" wrapText="1"/>
    </xf>
    <xf numFmtId="0" fontId="37" fillId="0" borderId="2" xfId="0" applyFont="1" applyFill="1" applyBorder="1" applyAlignment="1">
      <alignment horizontal="center" vertical="center"/>
    </xf>
    <xf numFmtId="1" fontId="15" fillId="0" borderId="3" xfId="0" applyNumberFormat="1" applyFont="1" applyFill="1" applyBorder="1" applyAlignment="1">
      <alignment vertical="center"/>
    </xf>
    <xf numFmtId="1" fontId="15" fillId="0" borderId="5" xfId="0" applyNumberFormat="1" applyFont="1" applyFill="1" applyBorder="1" applyAlignment="1">
      <alignment vertical="center"/>
    </xf>
    <xf numFmtId="1" fontId="15" fillId="0" borderId="4" xfId="0" applyNumberFormat="1" applyFont="1" applyFill="1" applyBorder="1" applyAlignment="1">
      <alignment vertical="center"/>
    </xf>
    <xf numFmtId="1" fontId="12" fillId="0" borderId="0" xfId="0" applyNumberFormat="1" applyFont="1" applyFill="1" applyBorder="1" applyAlignment="1">
      <alignment horizontal="right"/>
    </xf>
    <xf numFmtId="0" fontId="4" fillId="0" borderId="2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right"/>
    </xf>
    <xf numFmtId="0" fontId="18" fillId="0" borderId="2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horizontal="center"/>
    </xf>
    <xf numFmtId="0" fontId="12" fillId="0" borderId="3" xfId="0" applyFont="1" applyFill="1" applyBorder="1" applyAlignment="1">
      <alignment horizontal="center" vertical="center"/>
    </xf>
    <xf numFmtId="0" fontId="12" fillId="0" borderId="4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left"/>
    </xf>
    <xf numFmtId="0" fontId="12" fillId="0" borderId="5" xfId="0" applyFont="1" applyFill="1" applyBorder="1" applyAlignment="1">
      <alignment horizontal="center" vertical="center"/>
    </xf>
    <xf numFmtId="0" fontId="8" fillId="0" borderId="5" xfId="0" applyFont="1" applyFill="1" applyBorder="1" applyAlignment="1">
      <alignment horizontal="left"/>
    </xf>
    <xf numFmtId="0" fontId="8" fillId="0" borderId="4" xfId="0" applyFont="1" applyFill="1" applyBorder="1" applyAlignment="1">
      <alignment horizontal="left"/>
    </xf>
    <xf numFmtId="0" fontId="10" fillId="0" borderId="3" xfId="0" applyFont="1" applyFill="1" applyBorder="1" applyAlignment="1">
      <alignment horizontal="right"/>
    </xf>
    <xf numFmtId="0" fontId="10" fillId="0" borderId="5" xfId="0" applyFont="1" applyFill="1" applyBorder="1" applyAlignment="1">
      <alignment horizontal="right"/>
    </xf>
    <xf numFmtId="0" fontId="11" fillId="0" borderId="8" xfId="0" applyFont="1" applyFill="1" applyBorder="1" applyAlignment="1">
      <alignment horizontal="center"/>
    </xf>
    <xf numFmtId="0" fontId="11" fillId="0" borderId="9" xfId="0" applyFont="1" applyFill="1" applyBorder="1" applyAlignment="1">
      <alignment horizontal="center"/>
    </xf>
    <xf numFmtId="0" fontId="11" fillId="0" borderId="6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1" fillId="0" borderId="3" xfId="0" applyFont="1" applyFill="1" applyBorder="1" applyAlignment="1">
      <alignment horizontal="left"/>
    </xf>
    <xf numFmtId="0" fontId="11" fillId="0" borderId="5" xfId="0" applyFont="1" applyFill="1" applyBorder="1" applyAlignment="1">
      <alignment horizontal="left"/>
    </xf>
    <xf numFmtId="0" fontId="11" fillId="0" borderId="4" xfId="0" applyFont="1" applyFill="1" applyBorder="1" applyAlignment="1">
      <alignment horizontal="left"/>
    </xf>
    <xf numFmtId="0" fontId="5" fillId="0" borderId="6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5" fillId="0" borderId="14" xfId="0" applyFont="1" applyFill="1" applyBorder="1" applyAlignment="1">
      <alignment horizontal="left"/>
    </xf>
    <xf numFmtId="0" fontId="5" fillId="0" borderId="3" xfId="0" applyFont="1" applyFill="1" applyBorder="1" applyAlignment="1">
      <alignment horizontal="left"/>
    </xf>
    <xf numFmtId="0" fontId="5" fillId="0" borderId="5" xfId="0" applyFont="1" applyFill="1" applyBorder="1" applyAlignment="1">
      <alignment horizontal="left"/>
    </xf>
    <xf numFmtId="0" fontId="5" fillId="0" borderId="4" xfId="0" applyFont="1" applyFill="1" applyBorder="1" applyAlignment="1">
      <alignment horizontal="left"/>
    </xf>
    <xf numFmtId="1" fontId="10" fillId="0" borderId="5" xfId="0" applyNumberFormat="1" applyFont="1" applyFill="1" applyBorder="1" applyAlignment="1">
      <alignment horizontal="left"/>
    </xf>
    <xf numFmtId="0" fontId="16" fillId="0" borderId="0" xfId="0" applyFont="1" applyFill="1" applyBorder="1" applyAlignment="1">
      <alignment horizontal="center"/>
    </xf>
    <xf numFmtId="1" fontId="5" fillId="0" borderId="2" xfId="0" applyNumberFormat="1" applyFont="1" applyFill="1" applyBorder="1" applyAlignment="1">
      <alignment horizontal="right" vertical="center" wrapText="1"/>
    </xf>
    <xf numFmtId="2" fontId="29" fillId="0" borderId="0" xfId="0" applyNumberFormat="1" applyFont="1" applyFill="1"/>
    <xf numFmtId="0" fontId="29" fillId="0" borderId="2" xfId="0" applyFont="1" applyFill="1" applyBorder="1"/>
    <xf numFmtId="3" fontId="29" fillId="0" borderId="2" xfId="0" applyNumberFormat="1" applyFont="1" applyFill="1" applyBorder="1"/>
    <xf numFmtId="1" fontId="29" fillId="0" borderId="2" xfId="0" applyNumberFormat="1" applyFont="1" applyFill="1" applyBorder="1"/>
    <xf numFmtId="43" fontId="29" fillId="0" borderId="2" xfId="0" applyNumberFormat="1" applyFont="1" applyFill="1" applyBorder="1"/>
    <xf numFmtId="0" fontId="38" fillId="0" borderId="2" xfId="0" applyFont="1" applyFill="1" applyBorder="1"/>
    <xf numFmtId="2" fontId="29" fillId="2" borderId="2" xfId="0" applyNumberFormat="1" applyFont="1" applyFill="1" applyBorder="1"/>
    <xf numFmtId="1" fontId="29" fillId="2" borderId="2" xfId="0" applyNumberFormat="1" applyFont="1" applyFill="1" applyBorder="1"/>
    <xf numFmtId="0" fontId="40" fillId="3" borderId="0" xfId="0" applyFont="1" applyFill="1" applyAlignment="1"/>
    <xf numFmtId="0" fontId="40" fillId="3" borderId="0" xfId="0" applyFont="1" applyFill="1"/>
    <xf numFmtId="1" fontId="40" fillId="3" borderId="0" xfId="0" applyNumberFormat="1" applyFont="1" applyFill="1" applyAlignment="1">
      <alignment horizontal="center"/>
    </xf>
    <xf numFmtId="1" fontId="40" fillId="3" borderId="0" xfId="0" applyNumberFormat="1" applyFont="1" applyFill="1"/>
    <xf numFmtId="2" fontId="40" fillId="3" borderId="0" xfId="0" applyNumberFormat="1" applyFont="1" applyFill="1"/>
    <xf numFmtId="1" fontId="41" fillId="3" borderId="0" xfId="0" applyNumberFormat="1" applyFont="1" applyFill="1" applyAlignment="1"/>
    <xf numFmtId="2" fontId="41" fillId="3" borderId="0" xfId="0" applyNumberFormat="1" applyFont="1" applyFill="1" applyAlignment="1">
      <alignment horizontal="center"/>
    </xf>
    <xf numFmtId="1" fontId="41" fillId="3" borderId="0" xfId="0" applyNumberFormat="1" applyFont="1" applyFill="1" applyAlignment="1">
      <alignment horizontal="center"/>
    </xf>
    <xf numFmtId="1" fontId="41" fillId="3" borderId="1" xfId="0" applyNumberFormat="1" applyFont="1" applyFill="1" applyBorder="1" applyAlignment="1"/>
    <xf numFmtId="2" fontId="41" fillId="3" borderId="1" xfId="0" applyNumberFormat="1" applyFont="1" applyFill="1" applyBorder="1" applyAlignment="1"/>
    <xf numFmtId="1" fontId="41" fillId="3" borderId="0" xfId="0" applyNumberFormat="1" applyFont="1" applyFill="1" applyBorder="1" applyAlignment="1"/>
    <xf numFmtId="2" fontId="41" fillId="3" borderId="0" xfId="0" applyNumberFormat="1" applyFont="1" applyFill="1" applyBorder="1" applyAlignment="1">
      <alignment horizontal="center"/>
    </xf>
    <xf numFmtId="1" fontId="41" fillId="3" borderId="0" xfId="0" applyNumberFormat="1" applyFont="1" applyFill="1" applyBorder="1" applyAlignment="1">
      <alignment horizontal="center"/>
    </xf>
    <xf numFmtId="0" fontId="39" fillId="3" borderId="0" xfId="0" applyFont="1" applyFill="1"/>
    <xf numFmtId="0" fontId="39" fillId="3" borderId="0" xfId="0" applyFont="1" applyFill="1" applyAlignment="1">
      <alignment horizontal="center" vertical="top"/>
    </xf>
    <xf numFmtId="2" fontId="41" fillId="3" borderId="0" xfId="0" applyNumberFormat="1" applyFont="1" applyFill="1" applyBorder="1" applyAlignment="1">
      <alignment horizontal="left"/>
    </xf>
    <xf numFmtId="0" fontId="40" fillId="3" borderId="0" xfId="0" applyFont="1" applyFill="1" applyAlignment="1">
      <alignment horizontal="center"/>
    </xf>
    <xf numFmtId="0" fontId="42" fillId="3" borderId="0" xfId="0" applyFont="1" applyFill="1" applyAlignment="1">
      <alignment horizontal="center" vertical="center"/>
    </xf>
    <xf numFmtId="2" fontId="42" fillId="3" borderId="0" xfId="0" applyNumberFormat="1" applyFont="1" applyFill="1" applyBorder="1" applyAlignment="1">
      <alignment vertical="center"/>
    </xf>
    <xf numFmtId="2" fontId="40" fillId="3" borderId="0" xfId="0" applyNumberFormat="1" applyFont="1" applyFill="1" applyBorder="1" applyAlignment="1">
      <alignment vertical="center"/>
    </xf>
    <xf numFmtId="2" fontId="40" fillId="3" borderId="0" xfId="0" applyNumberFormat="1" applyFont="1" applyFill="1" applyBorder="1" applyAlignment="1">
      <alignment horizontal="right" vertical="center"/>
    </xf>
    <xf numFmtId="2" fontId="39" fillId="3" borderId="2" xfId="0" applyNumberFormat="1" applyFont="1" applyFill="1" applyBorder="1" applyAlignment="1">
      <alignment horizontal="right" vertical="center"/>
    </xf>
    <xf numFmtId="2" fontId="41" fillId="3" borderId="2" xfId="0" applyNumberFormat="1" applyFont="1" applyFill="1" applyBorder="1" applyAlignment="1">
      <alignment horizontal="right" vertical="center"/>
    </xf>
    <xf numFmtId="1" fontId="40" fillId="3" borderId="0" xfId="0" applyNumberFormat="1" applyFont="1" applyFill="1" applyBorder="1" applyAlignment="1">
      <alignment horizontal="right" vertical="center"/>
    </xf>
    <xf numFmtId="2" fontId="39" fillId="3" borderId="0" xfId="0" applyNumberFormat="1" applyFont="1" applyFill="1" applyBorder="1" applyAlignment="1">
      <alignment vertical="center"/>
    </xf>
    <xf numFmtId="1" fontId="39" fillId="3" borderId="0" xfId="0" applyNumberFormat="1" applyFont="1" applyFill="1" applyBorder="1" applyAlignment="1">
      <alignment horizontal="right" vertical="center"/>
    </xf>
    <xf numFmtId="2" fontId="39" fillId="3" borderId="0" xfId="0" applyNumberFormat="1" applyFont="1" applyFill="1" applyBorder="1" applyAlignment="1">
      <alignment horizontal="right" vertical="center"/>
    </xf>
    <xf numFmtId="1" fontId="39" fillId="3" borderId="0" xfId="0" applyNumberFormat="1" applyFont="1" applyFill="1" applyBorder="1" applyAlignment="1">
      <alignment vertical="center"/>
    </xf>
    <xf numFmtId="1" fontId="39" fillId="3" borderId="0" xfId="0" applyNumberFormat="1" applyFont="1" applyFill="1" applyAlignment="1"/>
    <xf numFmtId="1" fontId="39" fillId="3" borderId="0" xfId="0" applyNumberFormat="1" applyFont="1" applyFill="1" applyAlignment="1">
      <alignment horizontal="right" vertical="center"/>
    </xf>
    <xf numFmtId="1" fontId="39" fillId="3" borderId="0" xfId="0" applyNumberFormat="1" applyFont="1" applyFill="1" applyAlignment="1">
      <alignment horizontal="left" vertical="center"/>
    </xf>
    <xf numFmtId="2" fontId="39" fillId="3" borderId="0" xfId="0" applyNumberFormat="1" applyFont="1" applyFill="1" applyAlignment="1"/>
    <xf numFmtId="1" fontId="40" fillId="3" borderId="0" xfId="0" applyNumberFormat="1" applyFont="1" applyFill="1" applyBorder="1" applyAlignment="1">
      <alignment horizontal="center" vertical="center"/>
    </xf>
    <xf numFmtId="43" fontId="40" fillId="3" borderId="0" xfId="1" applyFont="1" applyFill="1" applyBorder="1" applyAlignment="1">
      <alignment horizontal="right" vertical="center"/>
    </xf>
    <xf numFmtId="1" fontId="40" fillId="3" borderId="0" xfId="0" applyNumberFormat="1" applyFont="1" applyFill="1" applyBorder="1" applyAlignment="1">
      <alignment vertical="center"/>
    </xf>
    <xf numFmtId="49" fontId="39" fillId="3" borderId="0" xfId="0" applyNumberFormat="1" applyFont="1" applyFill="1" applyAlignment="1">
      <alignment horizontal="left"/>
    </xf>
    <xf numFmtId="1" fontId="39" fillId="3" borderId="0" xfId="0" applyNumberFormat="1" applyFont="1" applyFill="1" applyAlignment="1">
      <alignment horizontal="left"/>
    </xf>
    <xf numFmtId="1" fontId="40" fillId="3" borderId="0" xfId="0" applyNumberFormat="1" applyFont="1" applyFill="1" applyAlignment="1"/>
    <xf numFmtId="1" fontId="40" fillId="3" borderId="0" xfId="0" applyNumberFormat="1" applyFont="1" applyFill="1" applyAlignment="1">
      <alignment horizontal="left"/>
    </xf>
    <xf numFmtId="0" fontId="39" fillId="3" borderId="0" xfId="0" applyFont="1" applyFill="1" applyBorder="1"/>
    <xf numFmtId="1" fontId="39" fillId="3" borderId="0" xfId="0" applyNumberFormat="1" applyFont="1" applyFill="1" applyBorder="1"/>
    <xf numFmtId="0" fontId="39" fillId="3" borderId="0" xfId="0" applyFont="1" applyFill="1" applyBorder="1" applyAlignment="1"/>
    <xf numFmtId="2" fontId="39" fillId="3" borderId="0" xfId="0" applyNumberFormat="1" applyFont="1" applyFill="1" applyBorder="1" applyAlignment="1"/>
    <xf numFmtId="0" fontId="43" fillId="3" borderId="0" xfId="0" applyFont="1" applyFill="1"/>
    <xf numFmtId="2" fontId="43" fillId="3" borderId="0" xfId="0" applyNumberFormat="1" applyFont="1" applyFill="1"/>
    <xf numFmtId="0" fontId="39" fillId="3" borderId="0" xfId="0" applyFont="1" applyFill="1" applyAlignment="1"/>
    <xf numFmtId="0" fontId="39" fillId="3" borderId="0" xfId="0" applyFont="1" applyFill="1" applyAlignment="1">
      <alignment horizontal="left"/>
    </xf>
    <xf numFmtId="0" fontId="40" fillId="3" borderId="0" xfId="0" applyFont="1" applyFill="1" applyBorder="1"/>
    <xf numFmtId="0" fontId="40" fillId="3" borderId="0" xfId="0" applyFont="1" applyFill="1" applyAlignment="1">
      <alignment horizontal="left"/>
    </xf>
    <xf numFmtId="2" fontId="40" fillId="3" borderId="0" xfId="0" applyNumberFormat="1" applyFont="1" applyFill="1" applyAlignment="1">
      <alignment horizontal="left"/>
    </xf>
    <xf numFmtId="0" fontId="39" fillId="3" borderId="0" xfId="0" applyFont="1" applyFill="1" applyBorder="1" applyAlignment="1">
      <alignment horizontal="center"/>
    </xf>
    <xf numFmtId="2" fontId="39" fillId="3" borderId="0" xfId="0" applyNumberFormat="1" applyFont="1" applyFill="1" applyBorder="1" applyAlignment="1">
      <alignment horizontal="center"/>
    </xf>
    <xf numFmtId="1" fontId="39" fillId="3" borderId="0" xfId="0" applyNumberFormat="1" applyFont="1" applyFill="1" applyBorder="1" applyAlignment="1"/>
    <xf numFmtId="1" fontId="39" fillId="3" borderId="0" xfId="0" applyNumberFormat="1" applyFont="1" applyFill="1" applyAlignment="1">
      <alignment horizontal="center"/>
    </xf>
    <xf numFmtId="1" fontId="39" fillId="3" borderId="2" xfId="0" applyNumberFormat="1" applyFont="1" applyFill="1" applyBorder="1" applyAlignment="1">
      <alignment horizontal="center" vertical="center"/>
    </xf>
    <xf numFmtId="1" fontId="39" fillId="3" borderId="7" xfId="0" applyNumberFormat="1" applyFont="1" applyFill="1" applyBorder="1" applyAlignment="1">
      <alignment horizontal="center" vertical="center" wrapText="1"/>
    </xf>
    <xf numFmtId="1" fontId="39" fillId="3" borderId="2" xfId="0" applyNumberFormat="1" applyFont="1" applyFill="1" applyBorder="1" applyAlignment="1">
      <alignment horizontal="right" vertical="center"/>
    </xf>
    <xf numFmtId="2" fontId="29" fillId="0" borderId="2" xfId="0" applyNumberFormat="1" applyFont="1" applyFill="1" applyBorder="1"/>
    <xf numFmtId="0" fontId="4" fillId="0" borderId="2" xfId="0" applyFont="1" applyFill="1" applyBorder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right"/>
    </xf>
    <xf numFmtId="1" fontId="39" fillId="3" borderId="0" xfId="0" applyNumberFormat="1" applyFont="1" applyFill="1"/>
    <xf numFmtId="2" fontId="39" fillId="3" borderId="0" xfId="0" applyNumberFormat="1" applyFont="1" applyFill="1"/>
    <xf numFmtId="1" fontId="39" fillId="3" borderId="2" xfId="0" applyNumberFormat="1" applyFont="1" applyFill="1" applyBorder="1" applyAlignment="1">
      <alignment horizontal="center" vertical="center" textRotation="90" wrapText="1"/>
    </xf>
    <xf numFmtId="1" fontId="39" fillId="3" borderId="0" xfId="0" applyNumberFormat="1" applyFont="1" applyFill="1" applyBorder="1" applyAlignment="1">
      <alignment horizontal="center"/>
    </xf>
    <xf numFmtId="2" fontId="39" fillId="3" borderId="0" xfId="0" applyNumberFormat="1" applyFont="1" applyFill="1" applyAlignment="1">
      <alignment horizontal="center"/>
    </xf>
    <xf numFmtId="1" fontId="39" fillId="3" borderId="2" xfId="0" applyNumberFormat="1" applyFont="1" applyFill="1" applyBorder="1" applyAlignment="1">
      <alignment horizontal="left" vertical="center" wrapText="1"/>
    </xf>
    <xf numFmtId="1" fontId="39" fillId="3" borderId="3" xfId="0" applyNumberFormat="1" applyFont="1" applyFill="1" applyBorder="1" applyAlignment="1">
      <alignment horizontal="right" vertical="center"/>
    </xf>
    <xf numFmtId="1" fontId="39" fillId="3" borderId="2" xfId="0" applyNumberFormat="1" applyFont="1" applyFill="1" applyBorder="1" applyAlignment="1">
      <alignment vertical="center" wrapText="1"/>
    </xf>
    <xf numFmtId="1" fontId="39" fillId="3" borderId="2" xfId="0" applyNumberFormat="1" applyFont="1" applyFill="1" applyBorder="1" applyAlignment="1">
      <alignment vertical="center"/>
    </xf>
    <xf numFmtId="2" fontId="39" fillId="3" borderId="2" xfId="0" applyNumberFormat="1" applyFont="1" applyFill="1" applyBorder="1" applyAlignment="1">
      <alignment horizontal="right" vertical="center" wrapText="1"/>
    </xf>
    <xf numFmtId="1" fontId="39" fillId="3" borderId="2" xfId="0" applyNumberFormat="1" applyFont="1" applyFill="1" applyBorder="1" applyAlignment="1">
      <alignment horizontal="center" vertical="center" wrapText="1"/>
    </xf>
    <xf numFmtId="1" fontId="39" fillId="3" borderId="2" xfId="0" applyNumberFormat="1" applyFont="1" applyFill="1" applyBorder="1" applyAlignment="1">
      <alignment horizontal="right" vertical="center" wrapText="1"/>
    </xf>
    <xf numFmtId="14" fontId="16" fillId="0" borderId="0" xfId="0" quotePrefix="1" applyNumberFormat="1" applyFont="1" applyFill="1" applyAlignment="1">
      <alignment horizontal="left"/>
    </xf>
    <xf numFmtId="1" fontId="39" fillId="3" borderId="2" xfId="0" applyNumberFormat="1" applyFont="1" applyFill="1" applyBorder="1" applyAlignment="1">
      <alignment horizontal="right" vertical="center"/>
    </xf>
    <xf numFmtId="1" fontId="39" fillId="3" borderId="2" xfId="0" applyNumberFormat="1" applyFont="1" applyFill="1" applyBorder="1" applyAlignment="1">
      <alignment horizontal="center" vertical="center"/>
    </xf>
    <xf numFmtId="43" fontId="39" fillId="3" borderId="0" xfId="1" applyFont="1" applyFill="1" applyAlignment="1">
      <alignment horizontal="left" vertical="center"/>
    </xf>
    <xf numFmtId="0" fontId="39" fillId="3" borderId="0" xfId="0" applyFont="1" applyFill="1" applyBorder="1" applyAlignment="1">
      <alignment horizontal="center"/>
    </xf>
    <xf numFmtId="1" fontId="39" fillId="3" borderId="2" xfId="0" applyNumberFormat="1" applyFont="1" applyFill="1" applyBorder="1" applyAlignment="1">
      <alignment horizontal="right" vertical="center"/>
    </xf>
    <xf numFmtId="1" fontId="39" fillId="3" borderId="0" xfId="0" applyNumberFormat="1" applyFont="1" applyFill="1" applyAlignment="1">
      <alignment horizontal="center"/>
    </xf>
    <xf numFmtId="1" fontId="39" fillId="3" borderId="2" xfId="0" applyNumberFormat="1" applyFont="1" applyFill="1" applyBorder="1" applyAlignment="1">
      <alignment horizontal="center" vertical="center"/>
    </xf>
    <xf numFmtId="1" fontId="39" fillId="3" borderId="7" xfId="0" applyNumberFormat="1" applyFont="1" applyFill="1" applyBorder="1" applyAlignment="1">
      <alignment horizontal="center" vertical="center" wrapText="1"/>
    </xf>
    <xf numFmtId="0" fontId="1" fillId="0" borderId="0" xfId="3" applyFont="1" applyBorder="1">
      <alignment horizontal="left" vertical="top"/>
    </xf>
    <xf numFmtId="49" fontId="44" fillId="0" borderId="0" xfId="3" applyNumberFormat="1" applyFont="1" applyBorder="1" applyAlignment="1">
      <alignment horizontal="center"/>
    </xf>
    <xf numFmtId="0" fontId="45" fillId="0" borderId="0" xfId="3" applyFont="1" applyBorder="1" applyAlignment="1">
      <alignment horizontal="center" vertical="top"/>
    </xf>
    <xf numFmtId="0" fontId="46" fillId="0" borderId="0" xfId="3" applyFont="1" applyBorder="1" applyAlignment="1">
      <alignment horizontal="center" vertical="top"/>
    </xf>
    <xf numFmtId="0" fontId="47" fillId="0" borderId="0" xfId="3" applyFont="1" applyBorder="1" applyAlignment="1">
      <alignment horizontal="center" vertical="top"/>
    </xf>
    <xf numFmtId="0" fontId="50" fillId="0" borderId="0" xfId="3" applyFont="1" applyBorder="1" applyAlignment="1">
      <alignment horizontal="center" vertical="top" wrapText="1"/>
    </xf>
    <xf numFmtId="49" fontId="44" fillId="0" borderId="2" xfId="3" applyNumberFormat="1" applyFont="1" applyBorder="1" applyAlignment="1">
      <alignment horizontal="center"/>
    </xf>
    <xf numFmtId="0" fontId="1" fillId="0" borderId="2" xfId="3" applyFont="1" applyBorder="1">
      <alignment horizontal="left" vertical="top"/>
    </xf>
    <xf numFmtId="0" fontId="46" fillId="0" borderId="2" xfId="3" applyFont="1" applyBorder="1" applyAlignment="1">
      <alignment horizontal="center" vertical="top"/>
    </xf>
    <xf numFmtId="49" fontId="44" fillId="0" borderId="0" xfId="3" applyNumberFormat="1" applyFont="1" applyBorder="1" applyAlignment="1">
      <alignment horizontal="center" vertical="top"/>
    </xf>
    <xf numFmtId="49" fontId="51" fillId="0" borderId="2" xfId="3" applyNumberFormat="1" applyFont="1" applyBorder="1" applyAlignment="1">
      <alignment horizontal="center" vertical="top"/>
    </xf>
    <xf numFmtId="0" fontId="46" fillId="0" borderId="2" xfId="3" applyFont="1" applyBorder="1" applyAlignment="1">
      <alignment horizontal="left" vertical="top"/>
    </xf>
    <xf numFmtId="0" fontId="52" fillId="0" borderId="9" xfId="3" applyFont="1" applyBorder="1" applyAlignment="1">
      <alignment vertical="top"/>
    </xf>
    <xf numFmtId="0" fontId="46" fillId="0" borderId="2" xfId="3" applyFont="1" applyBorder="1" applyAlignment="1">
      <alignment horizontal="center" vertical="center"/>
    </xf>
    <xf numFmtId="0" fontId="46" fillId="0" borderId="2" xfId="3" applyFont="1" applyBorder="1">
      <alignment horizontal="left" vertical="top"/>
    </xf>
    <xf numFmtId="0" fontId="50" fillId="0" borderId="2" xfId="3" applyFont="1" applyBorder="1">
      <alignment horizontal="left" vertical="top"/>
    </xf>
    <xf numFmtId="0" fontId="54" fillId="0" borderId="0" xfId="3" applyFont="1" applyBorder="1" applyAlignment="1">
      <alignment horizontal="center" vertical="center" wrapText="1"/>
    </xf>
    <xf numFmtId="0" fontId="54" fillId="0" borderId="2" xfId="3" applyFont="1" applyBorder="1" applyAlignment="1">
      <alignment horizontal="center" vertical="center" wrapText="1"/>
    </xf>
    <xf numFmtId="0" fontId="47" fillId="0" borderId="0" xfId="3" applyFont="1" applyBorder="1">
      <alignment horizontal="left" vertical="top"/>
    </xf>
    <xf numFmtId="0" fontId="55" fillId="0" borderId="0" xfId="3" applyFont="1" applyBorder="1">
      <alignment horizontal="left" vertical="top"/>
    </xf>
    <xf numFmtId="0" fontId="56" fillId="0" borderId="0" xfId="3" applyFont="1" applyBorder="1" applyAlignment="1">
      <alignment horizontal="center" vertical="top"/>
    </xf>
    <xf numFmtId="0" fontId="55" fillId="0" borderId="0" xfId="3" applyFont="1" applyBorder="1" applyAlignment="1">
      <alignment horizontal="center" vertical="top"/>
    </xf>
    <xf numFmtId="0" fontId="57" fillId="0" borderId="0" xfId="3" applyFont="1" applyBorder="1" applyAlignment="1">
      <alignment horizontal="center" vertical="top"/>
    </xf>
    <xf numFmtId="49" fontId="51" fillId="0" borderId="2" xfId="3" applyNumberFormat="1" applyFont="1" applyBorder="1" applyAlignment="1">
      <alignment horizontal="center"/>
    </xf>
    <xf numFmtId="0" fontId="53" fillId="0" borderId="2" xfId="3" applyFont="1" applyBorder="1">
      <alignment horizontal="left" vertical="top"/>
    </xf>
    <xf numFmtId="1" fontId="1" fillId="0" borderId="0" xfId="3" applyNumberFormat="1" applyFont="1" applyBorder="1">
      <alignment horizontal="left" vertical="top"/>
    </xf>
    <xf numFmtId="2" fontId="1" fillId="0" borderId="0" xfId="3" applyNumberFormat="1" applyFont="1" applyBorder="1">
      <alignment horizontal="left" vertical="top"/>
    </xf>
    <xf numFmtId="2" fontId="1" fillId="0" borderId="0" xfId="3" applyNumberFormat="1" applyFont="1" applyFill="1" applyBorder="1">
      <alignment horizontal="left" vertical="top"/>
    </xf>
    <xf numFmtId="0" fontId="1" fillId="0" borderId="0" xfId="3" applyBorder="1">
      <alignment horizontal="left" vertical="top"/>
    </xf>
    <xf numFmtId="0" fontId="50" fillId="0" borderId="2" xfId="3" applyFont="1" applyBorder="1" applyAlignment="1">
      <alignment horizontal="center" vertical="top"/>
    </xf>
    <xf numFmtId="0" fontId="54" fillId="0" borderId="2" xfId="3" applyFont="1" applyBorder="1" applyAlignment="1">
      <alignment horizontal="center" vertical="top" wrapText="1"/>
    </xf>
    <xf numFmtId="49" fontId="1" fillId="0" borderId="0" xfId="3" applyNumberFormat="1" applyFont="1" applyBorder="1">
      <alignment horizontal="left" vertical="top"/>
    </xf>
    <xf numFmtId="166" fontId="1" fillId="0" borderId="0" xfId="3" applyNumberFormat="1" applyFont="1" applyBorder="1">
      <alignment horizontal="left" vertical="top"/>
    </xf>
    <xf numFmtId="167" fontId="53" fillId="0" borderId="2" xfId="3" applyNumberFormat="1" applyFont="1" applyBorder="1">
      <alignment horizontal="left" vertical="top"/>
    </xf>
    <xf numFmtId="0" fontId="47" fillId="0" borderId="2" xfId="3" applyFont="1" applyBorder="1">
      <alignment horizontal="left" vertical="top"/>
    </xf>
    <xf numFmtId="166" fontId="0" fillId="0" borderId="0" xfId="4" applyNumberFormat="1" applyFont="1" applyBorder="1">
      <alignment horizontal="left" vertical="top"/>
    </xf>
    <xf numFmtId="2" fontId="2" fillId="0" borderId="0" xfId="3" applyNumberFormat="1" applyFont="1" applyBorder="1">
      <alignment horizontal="left" vertical="top"/>
    </xf>
    <xf numFmtId="1" fontId="46" fillId="0" borderId="2" xfId="4" applyNumberFormat="1" applyFont="1" applyBorder="1" applyAlignment="1">
      <alignment horizontal="right" vertical="top"/>
    </xf>
    <xf numFmtId="0" fontId="58" fillId="0" borderId="2" xfId="3" applyFont="1" applyBorder="1" applyAlignment="1">
      <alignment horizontal="center" vertical="top"/>
    </xf>
    <xf numFmtId="166" fontId="59" fillId="0" borderId="0" xfId="3" applyNumberFormat="1" applyFont="1" applyBorder="1">
      <alignment horizontal="left" vertical="top"/>
    </xf>
    <xf numFmtId="0" fontId="2" fillId="0" borderId="0" xfId="3" applyFont="1" applyBorder="1">
      <alignment horizontal="left" vertical="top"/>
    </xf>
    <xf numFmtId="167" fontId="53" fillId="0" borderId="2" xfId="3" applyNumberFormat="1" applyFont="1" applyBorder="1" applyAlignment="1">
      <alignment vertical="top"/>
    </xf>
    <xf numFmtId="1" fontId="46" fillId="0" borderId="2" xfId="4" applyNumberFormat="1" applyFont="1" applyBorder="1" applyAlignment="1">
      <alignment vertical="top"/>
    </xf>
    <xf numFmtId="0" fontId="53" fillId="0" borderId="0" xfId="3" applyFont="1" applyBorder="1" applyAlignment="1">
      <alignment vertical="top"/>
    </xf>
    <xf numFmtId="0" fontId="53" fillId="0" borderId="0" xfId="3" applyFont="1" applyBorder="1">
      <alignment horizontal="left" vertical="top"/>
    </xf>
    <xf numFmtId="9" fontId="1" fillId="0" borderId="0" xfId="3" applyNumberFormat="1" applyFont="1" applyBorder="1">
      <alignment horizontal="left" vertical="top"/>
    </xf>
    <xf numFmtId="0" fontId="1" fillId="0" borderId="0" xfId="3" applyBorder="1" applyAlignment="1">
      <alignment horizontal="center" vertical="top"/>
    </xf>
    <xf numFmtId="167" fontId="1" fillId="0" borderId="0" xfId="3" applyNumberFormat="1" applyBorder="1">
      <alignment horizontal="left" vertical="top"/>
    </xf>
    <xf numFmtId="3" fontId="1" fillId="0" borderId="0" xfId="3" applyNumberFormat="1" applyBorder="1">
      <alignment horizontal="left" vertical="top"/>
    </xf>
    <xf numFmtId="167" fontId="0" fillId="0" borderId="0" xfId="5" applyNumberFormat="1" applyFont="1" applyBorder="1">
      <alignment horizontal="left" vertical="top"/>
    </xf>
    <xf numFmtId="0" fontId="53" fillId="0" borderId="0" xfId="3" applyFont="1" applyBorder="1" applyAlignment="1">
      <alignment horizontal="center" vertical="top"/>
    </xf>
    <xf numFmtId="0" fontId="53" fillId="0" borderId="0" xfId="3" applyFont="1" applyFill="1" applyBorder="1" applyAlignment="1">
      <alignment horizontal="center" vertical="top"/>
    </xf>
    <xf numFmtId="167" fontId="1" fillId="0" borderId="0" xfId="3" applyNumberFormat="1" applyFont="1" applyBorder="1" applyAlignment="1">
      <alignment horizontal="right" vertical="top"/>
    </xf>
    <xf numFmtId="0" fontId="53" fillId="0" borderId="0" xfId="3" applyFont="1" applyBorder="1" applyAlignment="1">
      <alignment horizontal="right" vertical="top"/>
    </xf>
    <xf numFmtId="0" fontId="53" fillId="0" borderId="0" xfId="3" applyFont="1" applyFill="1" applyBorder="1">
      <alignment horizontal="left" vertical="top"/>
    </xf>
    <xf numFmtId="0" fontId="53" fillId="0" borderId="0" xfId="3" applyFont="1" applyFill="1" applyBorder="1" applyAlignment="1">
      <alignment vertical="top"/>
    </xf>
    <xf numFmtId="167" fontId="53" fillId="0" borderId="2" xfId="3" applyNumberFormat="1" applyFont="1" applyBorder="1" applyAlignment="1">
      <alignment horizontal="right" vertical="top"/>
    </xf>
    <xf numFmtId="0" fontId="53" fillId="0" borderId="2" xfId="3" applyFont="1" applyBorder="1" applyAlignment="1">
      <alignment horizontal="right" vertical="top"/>
    </xf>
    <xf numFmtId="0" fontId="53" fillId="0" borderId="2" xfId="3" applyFont="1" applyFill="1" applyBorder="1">
      <alignment horizontal="left" vertical="top"/>
    </xf>
    <xf numFmtId="0" fontId="53" fillId="0" borderId="2" xfId="3" applyFont="1" applyBorder="1" applyAlignment="1">
      <alignment horizontal="center" vertical="top"/>
    </xf>
    <xf numFmtId="0" fontId="1" fillId="0" borderId="2" xfId="3" applyFont="1" applyBorder="1" applyAlignment="1">
      <alignment horizontal="center" vertical="top"/>
    </xf>
    <xf numFmtId="0" fontId="1" fillId="0" borderId="0" xfId="3" applyFont="1" applyBorder="1" applyAlignment="1">
      <alignment horizontal="right" vertical="top"/>
    </xf>
    <xf numFmtId="0" fontId="1" fillId="0" borderId="2" xfId="3" applyFont="1" applyBorder="1" applyAlignment="1">
      <alignment horizontal="right" vertical="top"/>
    </xf>
    <xf numFmtId="0" fontId="2" fillId="0" borderId="2" xfId="3" applyFont="1" applyBorder="1" applyAlignment="1">
      <alignment horizontal="left" vertical="top" wrapText="1"/>
    </xf>
    <xf numFmtId="0" fontId="1" fillId="0" borderId="2" xfId="3" applyFont="1" applyBorder="1" applyAlignment="1">
      <alignment horizontal="left" vertical="top" wrapText="1"/>
    </xf>
    <xf numFmtId="0" fontId="61" fillId="0" borderId="0" xfId="3" applyFont="1" applyBorder="1" applyAlignment="1">
      <alignment horizontal="center" vertical="center" wrapText="1"/>
    </xf>
    <xf numFmtId="0" fontId="61" fillId="0" borderId="2" xfId="3" applyFont="1" applyBorder="1" applyAlignment="1">
      <alignment horizontal="center" vertical="center" wrapText="1"/>
    </xf>
    <xf numFmtId="0" fontId="62" fillId="0" borderId="2" xfId="3" applyFont="1" applyBorder="1" applyAlignment="1">
      <alignment horizontal="center" vertical="top"/>
    </xf>
    <xf numFmtId="167" fontId="53" fillId="0" borderId="2" xfId="5" applyNumberFormat="1" applyFont="1" applyBorder="1">
      <alignment horizontal="left" vertical="top"/>
    </xf>
    <xf numFmtId="0" fontId="63" fillId="0" borderId="2" xfId="3" applyFont="1" applyBorder="1" applyAlignment="1">
      <alignment horizontal="center" vertical="top"/>
    </xf>
    <xf numFmtId="167" fontId="64" fillId="0" borderId="0" xfId="5" applyNumberFormat="1" applyFont="1" applyBorder="1">
      <alignment horizontal="left" vertical="top"/>
    </xf>
    <xf numFmtId="0" fontId="65" fillId="0" borderId="2" xfId="3" applyFont="1" applyBorder="1">
      <alignment horizontal="left" vertical="top"/>
    </xf>
    <xf numFmtId="0" fontId="48" fillId="0" borderId="2" xfId="3" applyFont="1" applyBorder="1">
      <alignment horizontal="left" vertical="top"/>
    </xf>
    <xf numFmtId="0" fontId="53" fillId="0" borderId="2" xfId="3" applyFont="1" applyBorder="1" applyAlignment="1">
      <alignment horizontal="center" vertical="center" wrapText="1"/>
    </xf>
    <xf numFmtId="0" fontId="53" fillId="0" borderId="2" xfId="3" applyFont="1" applyBorder="1" applyAlignment="1">
      <alignment horizontal="center" vertical="top" wrapText="1"/>
    </xf>
    <xf numFmtId="0" fontId="66" fillId="0" borderId="2" xfId="3" applyFont="1" applyBorder="1" applyAlignment="1">
      <alignment horizontal="center" vertical="top"/>
    </xf>
    <xf numFmtId="0" fontId="67" fillId="0" borderId="2" xfId="3" applyFont="1" applyBorder="1" applyAlignment="1">
      <alignment horizontal="center" vertical="top"/>
    </xf>
    <xf numFmtId="0" fontId="68" fillId="0" borderId="0" xfId="3" applyFont="1" applyBorder="1" applyAlignment="1">
      <alignment horizontal="center" vertical="top"/>
    </xf>
    <xf numFmtId="0" fontId="68" fillId="0" borderId="2" xfId="3" applyFont="1" applyBorder="1" applyAlignment="1">
      <alignment horizontal="center" vertical="top"/>
    </xf>
    <xf numFmtId="0" fontId="66" fillId="0" borderId="0" xfId="3" applyFont="1" applyBorder="1" applyAlignment="1">
      <alignment horizontal="center" vertical="top"/>
    </xf>
    <xf numFmtId="0" fontId="69" fillId="0" borderId="0" xfId="3" applyFont="1" applyBorder="1" applyAlignment="1">
      <alignment horizontal="center" vertical="top"/>
    </xf>
    <xf numFmtId="2" fontId="1" fillId="0" borderId="0" xfId="3" applyNumberFormat="1" applyBorder="1">
      <alignment horizontal="left" vertical="top"/>
    </xf>
    <xf numFmtId="0" fontId="72" fillId="0" borderId="0" xfId="3" applyFont="1" applyBorder="1" applyAlignment="1">
      <alignment horizontal="center" vertical="top"/>
    </xf>
    <xf numFmtId="0" fontId="72" fillId="0" borderId="0" xfId="3" applyFont="1" applyBorder="1" applyAlignment="1">
      <alignment vertical="top"/>
    </xf>
    <xf numFmtId="0" fontId="74" fillId="0" borderId="0" xfId="3" applyFont="1" applyBorder="1">
      <alignment horizontal="left" vertical="top"/>
    </xf>
    <xf numFmtId="0" fontId="75" fillId="0" borderId="0" xfId="3" applyFont="1" applyBorder="1" applyAlignment="1">
      <alignment horizontal="center" vertical="top"/>
    </xf>
    <xf numFmtId="0" fontId="75" fillId="0" borderId="0" xfId="3" applyFont="1" applyBorder="1" applyAlignment="1">
      <alignment vertical="top"/>
    </xf>
    <xf numFmtId="0" fontId="76" fillId="0" borderId="0" xfId="3" applyFont="1" applyBorder="1">
      <alignment horizontal="left" vertical="top"/>
    </xf>
    <xf numFmtId="0" fontId="49" fillId="0" borderId="2" xfId="3" applyFont="1" applyBorder="1" applyAlignment="1">
      <alignment horizontal="center" vertical="center"/>
    </xf>
    <xf numFmtId="0" fontId="79" fillId="0" borderId="2" xfId="3" applyFont="1" applyBorder="1" applyAlignment="1">
      <alignment horizontal="center" vertical="center"/>
    </xf>
    <xf numFmtId="0" fontId="80" fillId="0" borderId="2" xfId="3" applyFont="1" applyBorder="1" applyAlignment="1">
      <alignment horizontal="center" vertical="top"/>
    </xf>
    <xf numFmtId="0" fontId="82" fillId="0" borderId="0" xfId="3" applyFont="1" applyBorder="1">
      <alignment horizontal="left" vertical="top"/>
    </xf>
    <xf numFmtId="0" fontId="49" fillId="0" borderId="14" xfId="3" applyFont="1" applyBorder="1" applyAlignment="1">
      <alignment horizontal="center" vertical="center"/>
    </xf>
    <xf numFmtId="0" fontId="49" fillId="0" borderId="9" xfId="3" applyFont="1" applyBorder="1" applyAlignment="1">
      <alignment horizontal="center" vertical="center"/>
    </xf>
    <xf numFmtId="0" fontId="77" fillId="0" borderId="9" xfId="3" applyFont="1" applyBorder="1" applyAlignment="1">
      <alignment horizontal="center" vertical="center" textRotation="90"/>
    </xf>
    <xf numFmtId="0" fontId="59" fillId="0" borderId="5" xfId="3" applyFont="1" applyBorder="1" applyAlignment="1">
      <alignment horizontal="left" vertical="top"/>
    </xf>
    <xf numFmtId="0" fontId="59" fillId="0" borderId="4" xfId="3" applyFont="1" applyBorder="1" applyAlignment="1">
      <alignment horizontal="left" vertical="top"/>
    </xf>
    <xf numFmtId="0" fontId="77" fillId="0" borderId="2" xfId="3" applyFont="1" applyBorder="1" applyAlignment="1">
      <alignment horizontal="center" vertical="top"/>
    </xf>
    <xf numFmtId="0" fontId="77" fillId="0" borderId="14" xfId="3" applyFont="1" applyBorder="1" applyAlignment="1">
      <alignment horizontal="center" textRotation="90"/>
    </xf>
    <xf numFmtId="0" fontId="77" fillId="0" borderId="1" xfId="3" applyFont="1" applyBorder="1" applyAlignment="1">
      <alignment horizontal="center" textRotation="90"/>
    </xf>
    <xf numFmtId="0" fontId="83" fillId="0" borderId="13" xfId="3" applyFont="1" applyBorder="1" applyAlignment="1">
      <alignment vertical="top" textRotation="90"/>
    </xf>
    <xf numFmtId="0" fontId="77" fillId="0" borderId="1" xfId="3" applyFont="1" applyBorder="1" applyAlignment="1">
      <alignment horizontal="center" vertical="center" textRotation="90"/>
    </xf>
    <xf numFmtId="0" fontId="77" fillId="0" borderId="2" xfId="3" applyFont="1" applyBorder="1" applyAlignment="1">
      <alignment horizontal="center" textRotation="90"/>
    </xf>
    <xf numFmtId="0" fontId="77" fillId="0" borderId="2" xfId="3" applyFont="1" applyBorder="1" applyAlignment="1">
      <alignment textRotation="90"/>
    </xf>
    <xf numFmtId="0" fontId="47" fillId="0" borderId="9" xfId="3" applyFont="1" applyBorder="1" applyAlignment="1">
      <alignment horizontal="center" vertical="top"/>
    </xf>
    <xf numFmtId="0" fontId="84" fillId="0" borderId="9" xfId="3" applyFont="1" applyBorder="1" applyAlignment="1">
      <alignment horizontal="center" vertical="top"/>
    </xf>
    <xf numFmtId="0" fontId="75" fillId="0" borderId="9" xfId="3" applyFont="1" applyBorder="1" applyAlignment="1">
      <alignment horizontal="center" vertical="top"/>
    </xf>
    <xf numFmtId="0" fontId="85" fillId="0" borderId="9" xfId="3" applyFont="1" applyBorder="1" applyAlignment="1">
      <alignment horizontal="center" vertical="top"/>
    </xf>
    <xf numFmtId="0" fontId="86" fillId="0" borderId="9" xfId="3" applyFont="1" applyBorder="1" applyAlignment="1">
      <alignment horizontal="center" vertical="top"/>
    </xf>
    <xf numFmtId="0" fontId="87" fillId="0" borderId="15" xfId="3" applyFont="1" applyBorder="1" applyAlignment="1">
      <alignment vertical="top" textRotation="90"/>
    </xf>
    <xf numFmtId="0" fontId="84" fillId="0" borderId="9" xfId="3" applyFont="1" applyBorder="1">
      <alignment horizontal="left" vertical="top"/>
    </xf>
    <xf numFmtId="0" fontId="84" fillId="0" borderId="9" xfId="3" applyFont="1" applyBorder="1" applyAlignment="1">
      <alignment horizontal="center"/>
    </xf>
    <xf numFmtId="0" fontId="84" fillId="0" borderId="9" xfId="3" applyFont="1" applyBorder="1" applyAlignment="1"/>
    <xf numFmtId="0" fontId="77" fillId="0" borderId="9" xfId="3" applyFont="1" applyBorder="1" applyAlignment="1">
      <alignment horizontal="center"/>
    </xf>
    <xf numFmtId="0" fontId="81" fillId="0" borderId="0" xfId="3" applyFont="1" applyBorder="1" applyAlignment="1">
      <alignment horizontal="center"/>
    </xf>
    <xf numFmtId="0" fontId="47" fillId="0" borderId="8" xfId="3" applyFont="1" applyBorder="1" applyAlignment="1">
      <alignment horizontal="center" vertical="top"/>
    </xf>
    <xf numFmtId="0" fontId="46" fillId="0" borderId="9" xfId="3" applyFont="1" applyBorder="1" applyAlignment="1">
      <alignment horizontal="left" vertical="top" wrapText="1"/>
    </xf>
    <xf numFmtId="0" fontId="88" fillId="0" borderId="9" xfId="3" applyFont="1" applyBorder="1" applyAlignment="1">
      <alignment horizontal="left" vertical="top"/>
    </xf>
    <xf numFmtId="167" fontId="83" fillId="0" borderId="13" xfId="6" applyNumberFormat="1" applyFont="1" applyBorder="1" applyAlignment="1">
      <alignment vertical="center"/>
    </xf>
    <xf numFmtId="3" fontId="83" fillId="0" borderId="9" xfId="6" applyNumberFormat="1" applyFont="1" applyBorder="1" applyAlignment="1">
      <alignment horizontal="center" vertical="center"/>
    </xf>
    <xf numFmtId="3" fontId="83" fillId="0" borderId="13" xfId="6" applyNumberFormat="1" applyFont="1" applyBorder="1" applyAlignment="1">
      <alignment vertical="center"/>
    </xf>
    <xf numFmtId="167" fontId="83" fillId="0" borderId="13" xfId="3" applyNumberFormat="1" applyFont="1" applyBorder="1" applyAlignment="1">
      <alignment vertical="center"/>
    </xf>
    <xf numFmtId="3" fontId="83" fillId="0" borderId="10" xfId="3" applyNumberFormat="1" applyFont="1" applyBorder="1" applyAlignment="1">
      <alignment vertical="center"/>
    </xf>
    <xf numFmtId="0" fontId="83" fillId="0" borderId="7" xfId="3" applyFont="1" applyBorder="1" applyAlignment="1">
      <alignment vertical="top" textRotation="90"/>
    </xf>
    <xf numFmtId="167" fontId="83" fillId="0" borderId="13" xfId="6" applyNumberFormat="1" applyFont="1" applyBorder="1" applyAlignment="1">
      <alignment horizontal="right" vertical="center"/>
    </xf>
    <xf numFmtId="167" fontId="83" fillId="0" borderId="8" xfId="6" applyNumberFormat="1" applyFont="1" applyBorder="1" applyAlignment="1">
      <alignment vertical="center"/>
    </xf>
    <xf numFmtId="167" fontId="50" fillId="0" borderId="13" xfId="6" applyNumberFormat="1" applyFont="1" applyBorder="1" applyAlignment="1">
      <alignment horizontal="center" vertical="center"/>
    </xf>
    <xf numFmtId="0" fontId="1" fillId="0" borderId="9" xfId="3" applyBorder="1">
      <alignment horizontal="left" vertical="top"/>
    </xf>
    <xf numFmtId="167" fontId="1" fillId="0" borderId="9" xfId="3" applyNumberFormat="1" applyBorder="1">
      <alignment horizontal="left" vertical="top"/>
    </xf>
    <xf numFmtId="0" fontId="52" fillId="0" borderId="9" xfId="3" applyFont="1" applyBorder="1" applyAlignment="1">
      <alignment vertical="top" wrapText="1"/>
    </xf>
    <xf numFmtId="0" fontId="88" fillId="0" borderId="9" xfId="3" applyFont="1" applyBorder="1" applyAlignment="1">
      <alignment vertical="top"/>
    </xf>
    <xf numFmtId="166" fontId="0" fillId="0" borderId="9" xfId="6" applyNumberFormat="1" applyFont="1" applyBorder="1">
      <alignment horizontal="left" vertical="top"/>
    </xf>
    <xf numFmtId="9" fontId="1" fillId="0" borderId="9" xfId="3" applyNumberFormat="1" applyBorder="1" applyAlignment="1">
      <alignment horizontal="center" vertical="top"/>
    </xf>
    <xf numFmtId="0" fontId="47" fillId="0" borderId="6" xfId="3" applyFont="1" applyBorder="1" applyAlignment="1">
      <alignment horizontal="center" vertical="top"/>
    </xf>
    <xf numFmtId="0" fontId="47" fillId="0" borderId="1" xfId="3" applyFont="1" applyBorder="1" applyAlignment="1">
      <alignment vertical="top" wrapText="1"/>
    </xf>
    <xf numFmtId="0" fontId="75" fillId="0" borderId="1" xfId="3" applyFont="1" applyBorder="1" applyAlignment="1">
      <alignment vertical="top"/>
    </xf>
    <xf numFmtId="167" fontId="83" fillId="0" borderId="7" xfId="3" applyNumberFormat="1" applyFont="1" applyBorder="1" applyAlignment="1">
      <alignment vertical="center"/>
    </xf>
    <xf numFmtId="3" fontId="83" fillId="0" borderId="7" xfId="6" applyNumberFormat="1" applyFont="1" applyBorder="1" applyAlignment="1">
      <alignment vertical="center"/>
    </xf>
    <xf numFmtId="3" fontId="83" fillId="0" borderId="14" xfId="3" applyNumberFormat="1" applyFont="1" applyBorder="1" applyAlignment="1">
      <alignment vertical="center"/>
    </xf>
    <xf numFmtId="3" fontId="83" fillId="0" borderId="7" xfId="3" applyNumberFormat="1" applyFont="1" applyBorder="1" applyAlignment="1">
      <alignment vertical="center"/>
    </xf>
    <xf numFmtId="3" fontId="83" fillId="0" borderId="15" xfId="6" applyNumberFormat="1" applyFont="1" applyBorder="1" applyAlignment="1">
      <alignment vertical="center"/>
    </xf>
    <xf numFmtId="167" fontId="83" fillId="0" borderId="7" xfId="6" applyNumberFormat="1" applyFont="1" applyBorder="1" applyAlignment="1">
      <alignment vertical="center"/>
    </xf>
    <xf numFmtId="167" fontId="83" fillId="0" borderId="7" xfId="6" applyNumberFormat="1" applyFont="1" applyBorder="1" applyAlignment="1">
      <alignment horizontal="right" vertical="center"/>
    </xf>
    <xf numFmtId="0" fontId="1" fillId="0" borderId="1" xfId="3" applyBorder="1">
      <alignment horizontal="left" vertical="top"/>
    </xf>
    <xf numFmtId="167" fontId="1" fillId="0" borderId="1" xfId="3" applyNumberFormat="1" applyBorder="1">
      <alignment horizontal="left" vertical="top"/>
    </xf>
    <xf numFmtId="166" fontId="0" fillId="0" borderId="1" xfId="6" applyNumberFormat="1" applyFont="1" applyBorder="1">
      <alignment horizontal="left" vertical="top"/>
    </xf>
    <xf numFmtId="9" fontId="1" fillId="0" borderId="1" xfId="3" applyNumberFormat="1" applyBorder="1" applyAlignment="1">
      <alignment horizontal="center" vertical="top"/>
    </xf>
    <xf numFmtId="3" fontId="83" fillId="0" borderId="13" xfId="3" applyNumberFormat="1" applyFont="1" applyBorder="1" applyAlignment="1">
      <alignment vertical="center"/>
    </xf>
    <xf numFmtId="167" fontId="83" fillId="0" borderId="15" xfId="6" applyNumberFormat="1" applyFont="1" applyBorder="1" applyAlignment="1">
      <alignment vertical="center"/>
    </xf>
    <xf numFmtId="0" fontId="47" fillId="0" borderId="16" xfId="3" applyFont="1" applyBorder="1" applyAlignment="1">
      <alignment horizontal="center" vertical="top"/>
    </xf>
    <xf numFmtId="0" fontId="52" fillId="0" borderId="0" xfId="3" applyFont="1" applyBorder="1" applyAlignment="1">
      <alignment vertical="top" wrapText="1"/>
    </xf>
    <xf numFmtId="0" fontId="88" fillId="0" borderId="0" xfId="3" applyFont="1" applyBorder="1" applyAlignment="1">
      <alignment vertical="top"/>
    </xf>
    <xf numFmtId="167" fontId="83" fillId="0" borderId="15" xfId="3" applyNumberFormat="1" applyFont="1" applyBorder="1" applyAlignment="1">
      <alignment vertical="center"/>
    </xf>
    <xf numFmtId="167" fontId="83" fillId="0" borderId="15" xfId="3" applyNumberFormat="1" applyFont="1" applyBorder="1" applyAlignment="1">
      <alignment horizontal="right" vertical="center"/>
    </xf>
    <xf numFmtId="3" fontId="83" fillId="0" borderId="15" xfId="3" applyNumberFormat="1" applyFont="1" applyBorder="1" applyAlignment="1">
      <alignment vertical="center"/>
    </xf>
    <xf numFmtId="167" fontId="83" fillId="0" borderId="15" xfId="6" applyNumberFormat="1" applyFont="1" applyBorder="1" applyAlignment="1">
      <alignment horizontal="right" vertical="center"/>
    </xf>
    <xf numFmtId="166" fontId="0" fillId="0" borderId="0" xfId="6" applyNumberFormat="1" applyFont="1" applyBorder="1">
      <alignment horizontal="left" vertical="top"/>
    </xf>
    <xf numFmtId="9" fontId="1" fillId="0" borderId="0" xfId="3" applyNumberFormat="1" applyBorder="1" applyAlignment="1">
      <alignment horizontal="center" vertical="top"/>
    </xf>
    <xf numFmtId="169" fontId="83" fillId="0" borderId="13" xfId="6" applyNumberFormat="1" applyFont="1" applyBorder="1" applyAlignment="1">
      <alignment vertical="center"/>
    </xf>
    <xf numFmtId="169" fontId="83" fillId="0" borderId="15" xfId="6" applyNumberFormat="1" applyFont="1" applyBorder="1" applyAlignment="1">
      <alignment vertical="center"/>
    </xf>
    <xf numFmtId="0" fontId="84" fillId="0" borderId="8" xfId="3" applyFont="1" applyBorder="1" applyAlignment="1">
      <alignment horizontal="center" vertical="top"/>
    </xf>
    <xf numFmtId="0" fontId="84" fillId="0" borderId="0" xfId="3" applyFont="1" applyBorder="1" applyAlignment="1">
      <alignment horizontal="center" vertical="top"/>
    </xf>
    <xf numFmtId="3" fontId="83" fillId="0" borderId="0" xfId="6" applyNumberFormat="1" applyFont="1" applyBorder="1" applyAlignment="1">
      <alignment horizontal="center" vertical="center"/>
    </xf>
    <xf numFmtId="0" fontId="84" fillId="0" borderId="2" xfId="3" applyFont="1" applyBorder="1">
      <alignment horizontal="left" vertical="top"/>
    </xf>
    <xf numFmtId="166" fontId="52" fillId="0" borderId="2" xfId="6" applyNumberFormat="1" applyFont="1" applyBorder="1" applyAlignment="1">
      <alignment horizontal="center" vertical="top"/>
    </xf>
    <xf numFmtId="166" fontId="52" fillId="0" borderId="7" xfId="6" applyNumberFormat="1" applyFont="1" applyBorder="1" applyAlignment="1">
      <alignment horizontal="center" vertical="top"/>
    </xf>
    <xf numFmtId="167" fontId="83" fillId="0" borderId="7" xfId="6" applyNumberFormat="1" applyFont="1" applyBorder="1" applyAlignment="1">
      <alignment horizontal="center" vertical="center"/>
    </xf>
    <xf numFmtId="167" fontId="89" fillId="0" borderId="7" xfId="6" applyNumberFormat="1" applyFont="1" applyBorder="1" applyAlignment="1">
      <alignment vertical="center"/>
    </xf>
    <xf numFmtId="167" fontId="50" fillId="0" borderId="7" xfId="6" applyNumberFormat="1" applyFont="1" applyBorder="1" applyAlignment="1">
      <alignment vertical="center"/>
    </xf>
    <xf numFmtId="167" fontId="77" fillId="0" borderId="7" xfId="6" applyNumberFormat="1" applyFont="1" applyBorder="1" applyAlignment="1">
      <alignment vertical="center"/>
    </xf>
    <xf numFmtId="0" fontId="84" fillId="0" borderId="0" xfId="3" applyFont="1" applyBorder="1" applyAlignment="1">
      <alignment horizontal="center" vertical="center" textRotation="90"/>
    </xf>
    <xf numFmtId="0" fontId="84" fillId="0" borderId="0" xfId="3" applyFont="1" applyBorder="1" applyAlignment="1">
      <alignment horizontal="center" vertical="center"/>
    </xf>
    <xf numFmtId="0" fontId="84" fillId="0" borderId="0" xfId="3" applyFont="1" applyBorder="1" applyAlignment="1">
      <alignment horizontal="center" textRotation="90"/>
    </xf>
    <xf numFmtId="0" fontId="84" fillId="0" borderId="0" xfId="3" applyFont="1" applyBorder="1" applyAlignment="1">
      <alignment horizontal="left" textRotation="90"/>
    </xf>
    <xf numFmtId="0" fontId="84" fillId="0" borderId="0" xfId="3" applyFont="1" applyBorder="1" applyAlignment="1">
      <alignment textRotation="90"/>
    </xf>
    <xf numFmtId="0" fontId="84" fillId="0" borderId="0" xfId="3" applyFont="1" applyBorder="1" applyAlignment="1">
      <alignment horizontal="center"/>
    </xf>
    <xf numFmtId="0" fontId="76" fillId="0" borderId="0" xfId="3" applyFont="1" applyBorder="1" applyAlignment="1">
      <alignment horizontal="center" vertical="center" wrapText="1"/>
    </xf>
    <xf numFmtId="0" fontId="74" fillId="0" borderId="0" xfId="3" applyFont="1" applyFill="1" applyBorder="1">
      <alignment horizontal="left" vertical="top"/>
    </xf>
    <xf numFmtId="43" fontId="84" fillId="0" borderId="0" xfId="3" applyNumberFormat="1" applyFont="1" applyBorder="1">
      <alignment horizontal="left" vertical="top"/>
    </xf>
    <xf numFmtId="0" fontId="63" fillId="0" borderId="0" xfId="3" applyFont="1" applyBorder="1" applyAlignment="1">
      <alignment vertical="top"/>
    </xf>
    <xf numFmtId="0" fontId="1" fillId="0" borderId="0" xfId="3" applyBorder="1" applyAlignment="1">
      <alignment vertical="top"/>
    </xf>
    <xf numFmtId="0" fontId="84" fillId="0" borderId="0" xfId="3" applyFont="1" applyBorder="1">
      <alignment horizontal="left" vertical="top"/>
    </xf>
    <xf numFmtId="0" fontId="1" fillId="0" borderId="17" xfId="3" applyAlignment="1">
      <alignment horizontal="left" vertical="top"/>
    </xf>
    <xf numFmtId="166" fontId="74" fillId="0" borderId="0" xfId="6" applyNumberFormat="1" applyFont="1" applyBorder="1" applyAlignment="1">
      <alignment vertical="top"/>
    </xf>
    <xf numFmtId="167" fontId="63" fillId="0" borderId="0" xfId="3" applyNumberFormat="1" applyFont="1" applyBorder="1">
      <alignment horizontal="left" vertical="top"/>
    </xf>
    <xf numFmtId="0" fontId="84" fillId="0" borderId="0" xfId="3" applyFont="1" applyBorder="1" applyAlignment="1">
      <alignment horizontal="left" vertical="top" wrapText="1"/>
    </xf>
    <xf numFmtId="0" fontId="63" fillId="0" borderId="0" xfId="3" applyFont="1" applyBorder="1" applyAlignment="1">
      <alignment horizontal="center" vertical="top"/>
    </xf>
    <xf numFmtId="43" fontId="84" fillId="0" borderId="0" xfId="3" applyNumberFormat="1" applyFont="1" applyBorder="1" applyAlignment="1">
      <alignment horizontal="right" vertical="top"/>
    </xf>
    <xf numFmtId="0" fontId="75" fillId="0" borderId="0" xfId="3" applyFont="1" applyBorder="1">
      <alignment horizontal="left" vertical="top"/>
    </xf>
    <xf numFmtId="167" fontId="75" fillId="0" borderId="0" xfId="3" applyNumberFormat="1" applyFont="1" applyBorder="1">
      <alignment horizontal="left" vertical="top"/>
    </xf>
    <xf numFmtId="167" fontId="75" fillId="0" borderId="0" xfId="3" applyNumberFormat="1" applyFont="1" applyBorder="1" applyAlignment="1">
      <alignment horizontal="center" vertical="top"/>
    </xf>
    <xf numFmtId="167" fontId="75" fillId="0" borderId="0" xfId="3" applyNumberFormat="1" applyFont="1" applyBorder="1" applyAlignment="1">
      <alignment vertical="top"/>
    </xf>
    <xf numFmtId="0" fontId="63" fillId="0" borderId="0" xfId="3" applyFont="1" applyBorder="1">
      <alignment horizontal="left" vertical="top"/>
    </xf>
    <xf numFmtId="0" fontId="84" fillId="0" borderId="0" xfId="3" applyFont="1" applyFill="1" applyBorder="1">
      <alignment horizontal="left" vertical="top"/>
    </xf>
    <xf numFmtId="0" fontId="92" fillId="0" borderId="0" xfId="3" applyFont="1" applyBorder="1" applyAlignment="1">
      <alignment horizontal="center" vertical="top"/>
    </xf>
    <xf numFmtId="0" fontId="61" fillId="0" borderId="0" xfId="3" applyFont="1" applyBorder="1" applyAlignment="1">
      <alignment vertical="center"/>
    </xf>
    <xf numFmtId="0" fontId="1" fillId="0" borderId="0" xfId="3" applyBorder="1" applyAlignment="1">
      <alignment vertical="center"/>
    </xf>
    <xf numFmtId="0" fontId="61" fillId="0" borderId="0" xfId="3" applyFont="1" applyBorder="1" applyAlignment="1">
      <alignment horizontal="center" vertical="center"/>
    </xf>
    <xf numFmtId="0" fontId="61" fillId="0" borderId="0" xfId="3" applyFont="1" applyBorder="1" applyAlignment="1">
      <alignment vertical="top"/>
    </xf>
    <xf numFmtId="0" fontId="61" fillId="0" borderId="0" xfId="3" applyFont="1" applyBorder="1" applyAlignment="1">
      <alignment horizontal="center" vertical="top"/>
    </xf>
    <xf numFmtId="166" fontId="84" fillId="0" borderId="0" xfId="3" applyNumberFormat="1" applyFont="1" applyBorder="1">
      <alignment horizontal="left" vertical="top"/>
    </xf>
    <xf numFmtId="0" fontId="84" fillId="0" borderId="0" xfId="3" applyFont="1" applyBorder="1" applyAlignment="1">
      <alignment vertical="top"/>
    </xf>
    <xf numFmtId="0" fontId="93" fillId="0" borderId="0" xfId="3" applyFont="1" applyBorder="1">
      <alignment horizontal="left" vertical="top"/>
    </xf>
    <xf numFmtId="43" fontId="84" fillId="0" borderId="0" xfId="3" applyNumberFormat="1" applyFont="1" applyBorder="1" applyAlignment="1">
      <alignment vertical="top"/>
    </xf>
    <xf numFmtId="167" fontId="75" fillId="0" borderId="13" xfId="3" applyNumberFormat="1" applyFont="1" applyBorder="1" applyAlignment="1">
      <alignment vertical="center"/>
    </xf>
    <xf numFmtId="167" fontId="75" fillId="0" borderId="9" xfId="3" applyNumberFormat="1" applyFont="1" applyBorder="1" applyAlignment="1">
      <alignment vertical="center"/>
    </xf>
    <xf numFmtId="167" fontId="94" fillId="0" borderId="13" xfId="6" applyNumberFormat="1" applyFont="1" applyBorder="1" applyAlignment="1">
      <alignment vertical="center"/>
    </xf>
    <xf numFmtId="167" fontId="94" fillId="0" borderId="9" xfId="3" applyNumberFormat="1" applyFont="1" applyBorder="1" applyAlignment="1">
      <alignment vertical="center"/>
    </xf>
    <xf numFmtId="167" fontId="94" fillId="0" borderId="13" xfId="3" applyNumberFormat="1" applyFont="1" applyBorder="1" applyAlignment="1">
      <alignment vertical="center"/>
    </xf>
    <xf numFmtId="167" fontId="94" fillId="0" borderId="9" xfId="6" applyNumberFormat="1" applyFont="1" applyBorder="1" applyAlignment="1">
      <alignment vertical="center"/>
    </xf>
    <xf numFmtId="167" fontId="95" fillId="0" borderId="13" xfId="6" applyNumberFormat="1" applyFont="1" applyBorder="1" applyAlignment="1">
      <alignment horizontal="center" vertical="center"/>
    </xf>
    <xf numFmtId="0" fontId="47" fillId="0" borderId="1" xfId="3" applyFont="1" applyBorder="1" applyAlignment="1">
      <alignment vertical="top"/>
    </xf>
    <xf numFmtId="167" fontId="75" fillId="0" borderId="7" xfId="3" applyNumberFormat="1" applyFont="1" applyBorder="1" applyAlignment="1">
      <alignment vertical="center"/>
    </xf>
    <xf numFmtId="167" fontId="75" fillId="0" borderId="1" xfId="3" applyNumberFormat="1" applyFont="1" applyBorder="1" applyAlignment="1">
      <alignment vertical="center"/>
    </xf>
    <xf numFmtId="167" fontId="94" fillId="0" borderId="7" xfId="6" applyNumberFormat="1" applyFont="1" applyBorder="1" applyAlignment="1">
      <alignment vertical="center"/>
    </xf>
    <xf numFmtId="167" fontId="94" fillId="0" borderId="1" xfId="3" applyNumberFormat="1" applyFont="1" applyBorder="1" applyAlignment="1">
      <alignment vertical="center"/>
    </xf>
    <xf numFmtId="167" fontId="94" fillId="0" borderId="7" xfId="3" applyNumberFormat="1" applyFont="1" applyBorder="1" applyAlignment="1">
      <alignment vertical="center"/>
    </xf>
    <xf numFmtId="167" fontId="94" fillId="0" borderId="1" xfId="6" applyNumberFormat="1" applyFont="1" applyBorder="1" applyAlignment="1">
      <alignment vertical="center"/>
    </xf>
    <xf numFmtId="167" fontId="95" fillId="0" borderId="7" xfId="6" applyNumberFormat="1" applyFont="1" applyBorder="1" applyAlignment="1">
      <alignment horizontal="center" vertical="center"/>
    </xf>
    <xf numFmtId="0" fontId="96" fillId="0" borderId="0" xfId="3" applyFont="1" applyBorder="1" applyAlignment="1">
      <alignment horizontal="centerContinuous" vertical="top"/>
    </xf>
    <xf numFmtId="0" fontId="96" fillId="0" borderId="0" xfId="3" applyFont="1" applyBorder="1" applyAlignment="1">
      <alignment vertical="top"/>
    </xf>
    <xf numFmtId="0" fontId="46" fillId="0" borderId="0" xfId="3" applyFont="1" applyBorder="1" applyAlignment="1">
      <alignment vertical="top"/>
    </xf>
    <xf numFmtId="167" fontId="75" fillId="0" borderId="0" xfId="6" applyNumberFormat="1" applyFont="1" applyBorder="1" applyAlignment="1">
      <alignment horizontal="center" vertical="center"/>
    </xf>
    <xf numFmtId="167" fontId="75" fillId="0" borderId="0" xfId="6" applyNumberFormat="1" applyFont="1" applyBorder="1" applyAlignment="1">
      <alignment vertical="center"/>
    </xf>
    <xf numFmtId="167" fontId="77" fillId="0" borderId="0" xfId="6" applyNumberFormat="1" applyFont="1" applyBorder="1" applyAlignment="1">
      <alignment horizontal="center" vertical="center"/>
    </xf>
    <xf numFmtId="167" fontId="76" fillId="0" borderId="0" xfId="6" applyNumberFormat="1" applyFont="1" applyBorder="1" applyAlignment="1">
      <alignment horizontal="center" vertical="center"/>
    </xf>
    <xf numFmtId="0" fontId="47" fillId="0" borderId="0" xfId="3" applyFont="1" applyBorder="1" applyAlignment="1">
      <alignment vertical="top"/>
    </xf>
    <xf numFmtId="1" fontId="39" fillId="3" borderId="2" xfId="0" applyNumberFormat="1" applyFont="1" applyFill="1" applyBorder="1" applyAlignment="1">
      <alignment horizontal="center" vertical="center"/>
    </xf>
    <xf numFmtId="1" fontId="39" fillId="3" borderId="2" xfId="0" applyNumberFormat="1" applyFont="1" applyFill="1" applyBorder="1" applyAlignment="1">
      <alignment horizontal="right" vertical="center"/>
    </xf>
    <xf numFmtId="0" fontId="97" fillId="0" borderId="2" xfId="3" applyFont="1" applyBorder="1" applyAlignment="1">
      <alignment horizontal="left" vertical="top"/>
    </xf>
    <xf numFmtId="0" fontId="98" fillId="0" borderId="0" xfId="3" applyFont="1" applyBorder="1" applyAlignment="1">
      <alignment vertical="top"/>
    </xf>
    <xf numFmtId="0" fontId="58" fillId="0" borderId="7" xfId="3" applyFont="1" applyBorder="1" applyAlignment="1">
      <alignment horizontal="center" vertical="top"/>
    </xf>
    <xf numFmtId="1" fontId="39" fillId="3" borderId="7" xfId="0" applyNumberFormat="1" applyFont="1" applyFill="1" applyBorder="1" applyAlignment="1">
      <alignment horizontal="left" vertical="center" wrapText="1"/>
    </xf>
    <xf numFmtId="0" fontId="56" fillId="0" borderId="0" xfId="3" applyFont="1" applyBorder="1" applyAlignment="1">
      <alignment horizontal="center" vertical="top"/>
    </xf>
    <xf numFmtId="49" fontId="29" fillId="0" borderId="2" xfId="0" quotePrefix="1" applyNumberFormat="1" applyFont="1" applyFill="1" applyBorder="1" applyAlignment="1">
      <alignment horizontal="left"/>
    </xf>
    <xf numFmtId="167" fontId="47" fillId="0" borderId="2" xfId="3" applyNumberFormat="1" applyFont="1" applyBorder="1">
      <alignment horizontal="left" vertical="top"/>
    </xf>
    <xf numFmtId="0" fontId="58" fillId="0" borderId="13" xfId="3" applyFont="1" applyBorder="1" applyAlignment="1">
      <alignment horizontal="center" vertical="top"/>
    </xf>
    <xf numFmtId="1" fontId="39" fillId="3" borderId="13" xfId="0" applyNumberFormat="1" applyFont="1" applyFill="1" applyBorder="1" applyAlignment="1">
      <alignment vertical="center" wrapText="1"/>
    </xf>
    <xf numFmtId="0" fontId="46" fillId="0" borderId="7" xfId="3" applyFont="1" applyBorder="1" applyAlignment="1">
      <alignment horizontal="center" vertical="top"/>
    </xf>
    <xf numFmtId="1" fontId="46" fillId="0" borderId="7" xfId="4" applyNumberFormat="1" applyFont="1" applyBorder="1" applyAlignment="1">
      <alignment vertical="top"/>
    </xf>
    <xf numFmtId="49" fontId="51" fillId="0" borderId="7" xfId="3" applyNumberFormat="1" applyFont="1" applyBorder="1" applyAlignment="1">
      <alignment horizontal="center"/>
    </xf>
    <xf numFmtId="1" fontId="53" fillId="0" borderId="2" xfId="3" applyNumberFormat="1" applyFont="1" applyBorder="1" applyAlignment="1">
      <alignment vertical="top" wrapText="1"/>
    </xf>
    <xf numFmtId="0" fontId="46" fillId="0" borderId="3" xfId="3" applyFont="1" applyBorder="1" applyAlignment="1">
      <alignment horizontal="center" vertical="top"/>
    </xf>
    <xf numFmtId="0" fontId="46" fillId="0" borderId="8" xfId="3" applyFont="1" applyBorder="1" applyAlignment="1">
      <alignment horizontal="center" vertical="top"/>
    </xf>
    <xf numFmtId="0" fontId="58" fillId="0" borderId="2" xfId="3" applyFont="1" applyBorder="1" applyAlignment="1">
      <alignment horizontal="right" vertical="top"/>
    </xf>
    <xf numFmtId="1" fontId="46" fillId="0" borderId="2" xfId="3" applyNumberFormat="1" applyFont="1" applyBorder="1" applyAlignment="1">
      <alignment horizontal="center" vertical="top"/>
    </xf>
    <xf numFmtId="1" fontId="46" fillId="0" borderId="2" xfId="3" applyNumberFormat="1" applyFont="1" applyBorder="1" applyAlignment="1">
      <alignment horizontal="left" vertical="top"/>
    </xf>
    <xf numFmtId="1" fontId="48" fillId="0" borderId="2" xfId="3" applyNumberFormat="1" applyFont="1" applyBorder="1" applyAlignment="1">
      <alignment horizontal="left" vertical="top" wrapText="1"/>
    </xf>
    <xf numFmtId="1" fontId="70" fillId="0" borderId="2" xfId="3" applyNumberFormat="1" applyFont="1" applyBorder="1" applyAlignment="1">
      <alignment horizontal="left" vertical="top" wrapText="1"/>
    </xf>
    <xf numFmtId="1" fontId="69" fillId="0" borderId="2" xfId="3" applyNumberFormat="1" applyFont="1" applyBorder="1" applyAlignment="1">
      <alignment horizontal="left" vertical="top" wrapText="1"/>
    </xf>
    <xf numFmtId="49" fontId="29" fillId="0" borderId="0" xfId="0" quotePrefix="1" applyNumberFormat="1" applyFont="1" applyFill="1" applyBorder="1" applyAlignment="1">
      <alignment horizontal="left"/>
    </xf>
    <xf numFmtId="49" fontId="29" fillId="0" borderId="0" xfId="0" applyNumberFormat="1" applyFont="1" applyFill="1"/>
    <xf numFmtId="166" fontId="1" fillId="0" borderId="2" xfId="3" applyNumberFormat="1" applyFont="1" applyBorder="1">
      <alignment horizontal="left" vertical="top"/>
    </xf>
    <xf numFmtId="0" fontId="55" fillId="0" borderId="2" xfId="3" applyFont="1" applyBorder="1" applyAlignment="1">
      <alignment horizontal="right" vertical="top"/>
    </xf>
    <xf numFmtId="1" fontId="45" fillId="0" borderId="2" xfId="3" applyNumberFormat="1" applyFont="1" applyBorder="1" applyAlignment="1">
      <alignment horizontal="center" vertical="top"/>
    </xf>
    <xf numFmtId="0" fontId="29" fillId="0" borderId="2" xfId="0" quotePrefix="1" applyFont="1" applyFill="1" applyBorder="1" applyAlignment="1">
      <alignment horizontal="left"/>
    </xf>
    <xf numFmtId="1" fontId="1" fillId="0" borderId="2" xfId="3" applyNumberFormat="1" applyFont="1" applyBorder="1" applyAlignment="1">
      <alignment horizontal="center" vertical="top"/>
    </xf>
    <xf numFmtId="0" fontId="46" fillId="0" borderId="2" xfId="3" applyFont="1" applyBorder="1" applyAlignment="1">
      <alignment horizontal="right" vertical="top"/>
    </xf>
    <xf numFmtId="0" fontId="46" fillId="0" borderId="2" xfId="3" applyFont="1" applyBorder="1" applyAlignment="1">
      <alignment horizontal="right" vertical="center"/>
    </xf>
    <xf numFmtId="0" fontId="47" fillId="0" borderId="2" xfId="3" applyFont="1" applyBorder="1" applyAlignment="1">
      <alignment horizontal="right" vertical="top"/>
    </xf>
    <xf numFmtId="0" fontId="99" fillId="0" borderId="0" xfId="3" applyFont="1" applyBorder="1" applyAlignment="1">
      <alignment horizontal="center" vertical="top" wrapText="1"/>
    </xf>
    <xf numFmtId="0" fontId="95" fillId="0" borderId="0" xfId="3" applyFont="1" applyBorder="1" applyAlignment="1">
      <alignment horizontal="center" vertical="top" wrapText="1"/>
    </xf>
    <xf numFmtId="0" fontId="1" fillId="0" borderId="2" xfId="0" quotePrefix="1" applyFont="1" applyBorder="1" applyAlignment="1">
      <alignment horizontal="left"/>
    </xf>
    <xf numFmtId="49" fontId="1" fillId="0" borderId="2" xfId="0" quotePrefix="1" applyNumberFormat="1" applyFont="1" applyFill="1" applyBorder="1" applyAlignment="1">
      <alignment horizontal="left"/>
    </xf>
    <xf numFmtId="49" fontId="1" fillId="0" borderId="13" xfId="0" quotePrefix="1" applyNumberFormat="1" applyFont="1" applyFill="1" applyBorder="1" applyAlignment="1">
      <alignment horizontal="left"/>
    </xf>
    <xf numFmtId="49" fontId="1" fillId="0" borderId="0" xfId="0" quotePrefix="1" applyNumberFormat="1" applyFont="1" applyFill="1" applyAlignment="1">
      <alignment horizontal="left"/>
    </xf>
    <xf numFmtId="49" fontId="1" fillId="0" borderId="0" xfId="0" quotePrefix="1" applyNumberFormat="1" applyFont="1" applyFill="1" applyBorder="1" applyAlignment="1">
      <alignment horizontal="left"/>
    </xf>
    <xf numFmtId="0" fontId="60" fillId="0" borderId="2" xfId="3" applyFont="1" applyBorder="1" applyAlignment="1">
      <alignment horizontal="center" vertical="top"/>
    </xf>
    <xf numFmtId="1" fontId="53" fillId="0" borderId="2" xfId="3" applyNumberFormat="1" applyFont="1" applyBorder="1" applyAlignment="1">
      <alignment horizontal="right" vertical="top" wrapText="1"/>
    </xf>
    <xf numFmtId="0" fontId="1" fillId="0" borderId="2" xfId="0" quotePrefix="1" applyFont="1" applyFill="1" applyBorder="1" applyAlignment="1">
      <alignment horizontal="left"/>
    </xf>
    <xf numFmtId="1" fontId="1" fillId="2" borderId="2" xfId="0" applyNumberFormat="1" applyFont="1" applyFill="1" applyBorder="1" applyAlignment="1">
      <alignment horizontal="right"/>
    </xf>
    <xf numFmtId="14" fontId="1" fillId="0" borderId="0" xfId="3" applyNumberFormat="1" applyFont="1" applyBorder="1">
      <alignment horizontal="left" vertical="top"/>
    </xf>
    <xf numFmtId="0" fontId="47" fillId="0" borderId="0" xfId="3" applyFont="1" applyBorder="1" applyAlignment="1">
      <alignment horizontal="right" vertical="top"/>
    </xf>
    <xf numFmtId="1" fontId="45" fillId="0" borderId="0" xfId="3" applyNumberFormat="1" applyFont="1" applyBorder="1" applyAlignment="1">
      <alignment horizontal="center" vertical="top"/>
    </xf>
    <xf numFmtId="2" fontId="46" fillId="0" borderId="2" xfId="3" applyNumberFormat="1" applyFont="1" applyBorder="1" applyAlignment="1">
      <alignment horizontal="center" vertical="top"/>
    </xf>
    <xf numFmtId="0" fontId="55" fillId="0" borderId="0" xfId="3" applyFont="1" applyBorder="1" applyAlignment="1">
      <alignment horizontal="right" vertical="top"/>
    </xf>
    <xf numFmtId="167" fontId="53" fillId="0" borderId="0" xfId="3" applyNumberFormat="1" applyFont="1" applyBorder="1">
      <alignment horizontal="left" vertical="top"/>
    </xf>
    <xf numFmtId="167" fontId="1" fillId="0" borderId="2" xfId="5" applyNumberFormat="1" applyFont="1" applyBorder="1">
      <alignment horizontal="left" vertical="top"/>
    </xf>
    <xf numFmtId="2" fontId="1" fillId="0" borderId="2" xfId="3" applyNumberFormat="1" applyFont="1" applyBorder="1" applyAlignment="1">
      <alignment horizontal="right" vertical="top"/>
    </xf>
    <xf numFmtId="1" fontId="71" fillId="3" borderId="1" xfId="0" applyNumberFormat="1" applyFont="1" applyFill="1" applyBorder="1" applyAlignment="1"/>
    <xf numFmtId="1" fontId="39" fillId="3" borderId="2" xfId="0" applyNumberFormat="1" applyFont="1" applyFill="1" applyBorder="1" applyAlignment="1">
      <alignment horizontal="right" vertical="center"/>
    </xf>
    <xf numFmtId="1" fontId="39" fillId="3" borderId="2" xfId="0" applyNumberFormat="1" applyFont="1" applyFill="1" applyBorder="1" applyAlignment="1">
      <alignment horizontal="center" vertical="center"/>
    </xf>
    <xf numFmtId="0" fontId="1" fillId="0" borderId="2" xfId="0" applyFont="1" applyBorder="1" applyAlignment="1">
      <alignment horizontal="left"/>
    </xf>
    <xf numFmtId="49" fontId="1" fillId="0" borderId="2" xfId="0" applyNumberFormat="1" applyFont="1" applyFill="1" applyBorder="1" applyAlignment="1">
      <alignment horizontal="left"/>
    </xf>
    <xf numFmtId="49" fontId="1" fillId="0" borderId="0" xfId="0" applyNumberFormat="1" applyFont="1" applyFill="1" applyBorder="1" applyAlignment="1">
      <alignment horizontal="left"/>
    </xf>
    <xf numFmtId="49" fontId="29" fillId="0" borderId="2" xfId="0" applyNumberFormat="1" applyFont="1" applyFill="1" applyBorder="1" applyAlignment="1">
      <alignment horizontal="left"/>
    </xf>
    <xf numFmtId="1" fontId="53" fillId="3" borderId="2" xfId="0" applyNumberFormat="1" applyFont="1" applyFill="1" applyBorder="1" applyAlignment="1">
      <alignment horizontal="right" vertical="center"/>
    </xf>
    <xf numFmtId="2" fontId="53" fillId="3" borderId="2" xfId="0" applyNumberFormat="1" applyFont="1" applyFill="1" applyBorder="1" applyAlignment="1">
      <alignment horizontal="right" vertical="center" wrapText="1"/>
    </xf>
    <xf numFmtId="2" fontId="72" fillId="3" borderId="2" xfId="0" applyNumberFormat="1" applyFont="1" applyFill="1" applyBorder="1" applyAlignment="1">
      <alignment horizontal="right" vertical="center"/>
    </xf>
    <xf numFmtId="2" fontId="65" fillId="3" borderId="2" xfId="0" applyNumberFormat="1" applyFont="1" applyFill="1" applyBorder="1" applyAlignment="1">
      <alignment horizontal="right" vertical="center"/>
    </xf>
    <xf numFmtId="0" fontId="61" fillId="0" borderId="0" xfId="3" applyFont="1" applyBorder="1" applyAlignment="1">
      <alignment horizontal="center" vertical="top"/>
    </xf>
    <xf numFmtId="0" fontId="57" fillId="0" borderId="0" xfId="3" applyFont="1" applyBorder="1" applyAlignment="1">
      <alignment horizontal="center" vertical="top"/>
    </xf>
    <xf numFmtId="0" fontId="55" fillId="0" borderId="0" xfId="3" applyFont="1" applyBorder="1" applyAlignment="1">
      <alignment horizontal="center" vertical="top"/>
    </xf>
    <xf numFmtId="0" fontId="47" fillId="0" borderId="0" xfId="3" applyFont="1" applyBorder="1" applyAlignment="1">
      <alignment horizontal="left" vertical="top" indent="1"/>
    </xf>
    <xf numFmtId="0" fontId="100" fillId="0" borderId="2" xfId="3" applyFont="1" applyBorder="1" applyAlignment="1">
      <alignment horizontal="center" vertical="top"/>
    </xf>
    <xf numFmtId="0" fontId="61" fillId="0" borderId="0" xfId="3" applyFont="1" applyBorder="1" applyAlignment="1">
      <alignment horizontal="left" vertical="top" wrapText="1"/>
    </xf>
    <xf numFmtId="0" fontId="48" fillId="0" borderId="0" xfId="3" applyFont="1" applyBorder="1" applyAlignment="1">
      <alignment horizontal="center" vertical="top" wrapText="1"/>
    </xf>
    <xf numFmtId="1" fontId="61" fillId="0" borderId="0" xfId="3" applyNumberFormat="1" applyFont="1" applyBorder="1" applyAlignment="1">
      <alignment vertical="top" wrapText="1"/>
    </xf>
    <xf numFmtId="49" fontId="101" fillId="0" borderId="2" xfId="3" applyNumberFormat="1" applyFont="1" applyBorder="1" applyAlignment="1">
      <alignment horizontal="center" vertical="top"/>
    </xf>
    <xf numFmtId="49" fontId="101" fillId="0" borderId="2" xfId="3" applyNumberFormat="1" applyFont="1" applyFill="1" applyBorder="1" applyAlignment="1">
      <alignment horizontal="left" vertical="top"/>
    </xf>
    <xf numFmtId="49" fontId="101" fillId="0" borderId="2" xfId="3" applyNumberFormat="1" applyFont="1" applyBorder="1" applyAlignment="1">
      <alignment horizontal="center"/>
    </xf>
    <xf numFmtId="0" fontId="102" fillId="0" borderId="9" xfId="3" applyFont="1" applyBorder="1" applyAlignment="1">
      <alignment vertical="top"/>
    </xf>
    <xf numFmtId="0" fontId="61" fillId="0" borderId="17" xfId="3" applyFont="1">
      <alignment horizontal="left" vertical="top"/>
    </xf>
    <xf numFmtId="0" fontId="61" fillId="0" borderId="0" xfId="3" applyFont="1" applyBorder="1">
      <alignment horizontal="left" vertical="top"/>
    </xf>
    <xf numFmtId="0" fontId="100" fillId="0" borderId="0" xfId="3" applyFont="1" applyBorder="1" applyAlignment="1">
      <alignment horizontal="center" vertical="top"/>
    </xf>
    <xf numFmtId="0" fontId="102" fillId="0" borderId="0" xfId="3" applyFont="1" applyBorder="1" applyAlignment="1">
      <alignment vertical="top"/>
    </xf>
    <xf numFmtId="0" fontId="100" fillId="0" borderId="2" xfId="3" applyFont="1" applyBorder="1">
      <alignment horizontal="left" vertical="top"/>
    </xf>
    <xf numFmtId="167" fontId="61" fillId="0" borderId="2" xfId="3" applyNumberFormat="1" applyFont="1" applyBorder="1" applyAlignment="1">
      <alignment vertical="top"/>
    </xf>
    <xf numFmtId="0" fontId="61" fillId="0" borderId="2" xfId="3" applyFont="1" applyBorder="1">
      <alignment horizontal="left" vertical="top"/>
    </xf>
    <xf numFmtId="1" fontId="39" fillId="3" borderId="2" xfId="0" applyNumberFormat="1" applyFont="1" applyFill="1" applyBorder="1" applyAlignment="1">
      <alignment horizontal="center" vertical="center"/>
    </xf>
    <xf numFmtId="1" fontId="39" fillId="3" borderId="2" xfId="0" applyNumberFormat="1" applyFont="1" applyFill="1" applyBorder="1" applyAlignment="1">
      <alignment horizontal="right" vertical="center"/>
    </xf>
    <xf numFmtId="1" fontId="60" fillId="0" borderId="0" xfId="3" applyNumberFormat="1" applyFont="1" applyBorder="1" applyAlignment="1">
      <alignment horizontal="center" vertical="top"/>
    </xf>
    <xf numFmtId="1" fontId="39" fillId="3" borderId="2" xfId="0" applyNumberFormat="1" applyFont="1" applyFill="1" applyBorder="1" applyAlignment="1">
      <alignment horizontal="center" vertical="center"/>
    </xf>
    <xf numFmtId="1" fontId="39" fillId="3" borderId="2" xfId="0" applyNumberFormat="1" applyFont="1" applyFill="1" applyBorder="1" applyAlignment="1">
      <alignment horizontal="right" vertical="center"/>
    </xf>
    <xf numFmtId="1" fontId="39" fillId="3" borderId="2" xfId="0" applyNumberFormat="1" applyFont="1" applyFill="1" applyBorder="1" applyAlignment="1">
      <alignment horizontal="center" vertical="center"/>
    </xf>
    <xf numFmtId="167" fontId="104" fillId="0" borderId="2" xfId="5" applyNumberFormat="1" applyFont="1" applyBorder="1">
      <alignment horizontal="left" vertical="top"/>
    </xf>
    <xf numFmtId="2" fontId="40" fillId="3" borderId="0" xfId="0" applyNumberFormat="1" applyFont="1" applyFill="1" applyAlignment="1"/>
    <xf numFmtId="1" fontId="80" fillId="3" borderId="2" xfId="0" applyNumberFormat="1" applyFont="1" applyFill="1" applyBorder="1" applyAlignment="1">
      <alignment horizontal="center" vertical="center" textRotation="90" wrapText="1"/>
    </xf>
    <xf numFmtId="2" fontId="48" fillId="3" borderId="2" xfId="0" applyNumberFormat="1" applyFont="1" applyFill="1" applyBorder="1" applyAlignment="1">
      <alignment horizontal="right" vertical="center"/>
    </xf>
    <xf numFmtId="2" fontId="80" fillId="3" borderId="2" xfId="0" applyNumberFormat="1" applyFont="1" applyFill="1" applyBorder="1" applyAlignment="1">
      <alignment horizontal="right" vertical="center"/>
    </xf>
    <xf numFmtId="1" fontId="39" fillId="3" borderId="2" xfId="0" applyNumberFormat="1" applyFont="1" applyFill="1" applyBorder="1" applyAlignment="1">
      <alignment horizontal="right" vertical="center"/>
    </xf>
    <xf numFmtId="1" fontId="39" fillId="3" borderId="2" xfId="0" applyNumberFormat="1" applyFont="1" applyFill="1" applyBorder="1" applyAlignment="1">
      <alignment horizontal="center" vertical="center"/>
    </xf>
    <xf numFmtId="1" fontId="53" fillId="3" borderId="2" xfId="0" applyNumberFormat="1" applyFont="1" applyFill="1" applyBorder="1" applyAlignment="1">
      <alignment vertical="center" wrapText="1"/>
    </xf>
    <xf numFmtId="1" fontId="39" fillId="3" borderId="2" xfId="0" applyNumberFormat="1" applyFont="1" applyFill="1" applyBorder="1" applyAlignment="1">
      <alignment horizontal="right" vertical="center"/>
    </xf>
    <xf numFmtId="1" fontId="43" fillId="3" borderId="0" xfId="0" applyNumberFormat="1" applyFont="1" applyFill="1" applyBorder="1" applyAlignment="1">
      <alignment horizontal="right" vertical="center"/>
    </xf>
    <xf numFmtId="43" fontId="43" fillId="3" borderId="0" xfId="1" applyFont="1" applyFill="1" applyBorder="1" applyAlignment="1">
      <alignment horizontal="right" vertical="center"/>
    </xf>
    <xf numFmtId="0" fontId="94" fillId="0" borderId="0" xfId="3" applyFont="1" applyBorder="1" applyAlignment="1">
      <alignment horizontal="center" vertical="top" wrapText="1"/>
    </xf>
    <xf numFmtId="2" fontId="53" fillId="3" borderId="2" xfId="0" applyNumberFormat="1" applyFont="1" applyFill="1" applyBorder="1" applyAlignment="1">
      <alignment horizontal="right" vertical="center"/>
    </xf>
    <xf numFmtId="1" fontId="39" fillId="3" borderId="2" xfId="0" applyNumberFormat="1" applyFont="1" applyFill="1" applyBorder="1" applyAlignment="1">
      <alignment horizontal="right" vertical="center"/>
    </xf>
    <xf numFmtId="0" fontId="53" fillId="0" borderId="0" xfId="3" applyFont="1" applyFill="1" applyBorder="1" applyAlignment="1">
      <alignment vertical="top"/>
    </xf>
    <xf numFmtId="2" fontId="106" fillId="3" borderId="0" xfId="0" applyNumberFormat="1" applyFont="1" applyFill="1" applyBorder="1" applyAlignment="1">
      <alignment vertical="center"/>
    </xf>
    <xf numFmtId="1" fontId="107" fillId="3" borderId="2" xfId="0" applyNumberFormat="1" applyFont="1" applyFill="1" applyBorder="1" applyAlignment="1">
      <alignment horizontal="center" vertical="center"/>
    </xf>
    <xf numFmtId="1" fontId="107" fillId="3" borderId="2" xfId="0" applyNumberFormat="1" applyFont="1" applyFill="1" applyBorder="1" applyAlignment="1">
      <alignment vertical="center"/>
    </xf>
    <xf numFmtId="1" fontId="107" fillId="3" borderId="2" xfId="0" applyNumberFormat="1" applyFont="1" applyFill="1" applyBorder="1" applyAlignment="1">
      <alignment horizontal="center" vertical="center" wrapText="1"/>
    </xf>
    <xf numFmtId="2" fontId="108" fillId="3" borderId="2" xfId="0" applyNumberFormat="1" applyFont="1" applyFill="1" applyBorder="1" applyAlignment="1">
      <alignment horizontal="right" vertical="center" wrapText="1"/>
    </xf>
    <xf numFmtId="1" fontId="108" fillId="3" borderId="2" xfId="0" applyNumberFormat="1" applyFont="1" applyFill="1" applyBorder="1" applyAlignment="1">
      <alignment horizontal="right" vertical="center"/>
    </xf>
    <xf numFmtId="1" fontId="107" fillId="3" borderId="2" xfId="0" applyNumberFormat="1" applyFont="1" applyFill="1" applyBorder="1" applyAlignment="1">
      <alignment horizontal="right" vertical="center"/>
    </xf>
    <xf numFmtId="1" fontId="107" fillId="3" borderId="2" xfId="0" applyNumberFormat="1" applyFont="1" applyFill="1" applyBorder="1" applyAlignment="1">
      <alignment horizontal="right" vertical="center" wrapText="1"/>
    </xf>
    <xf numFmtId="1" fontId="107" fillId="3" borderId="3" xfId="0" applyNumberFormat="1" applyFont="1" applyFill="1" applyBorder="1" applyAlignment="1">
      <alignment horizontal="right" vertical="center"/>
    </xf>
    <xf numFmtId="2" fontId="107" fillId="3" borderId="2" xfId="0" applyNumberFormat="1" applyFont="1" applyFill="1" applyBorder="1" applyAlignment="1">
      <alignment horizontal="right" vertical="center"/>
    </xf>
    <xf numFmtId="0" fontId="107" fillId="3" borderId="0" xfId="0" applyFont="1" applyFill="1" applyAlignment="1"/>
    <xf numFmtId="0" fontId="106" fillId="3" borderId="0" xfId="0" applyFont="1" applyFill="1" applyAlignment="1"/>
    <xf numFmtId="166" fontId="1" fillId="0" borderId="0" xfId="4" applyNumberFormat="1" applyFont="1" applyBorder="1">
      <alignment horizontal="left" vertical="top"/>
    </xf>
    <xf numFmtId="0" fontId="77" fillId="0" borderId="13" xfId="3" applyFont="1" applyBorder="1" applyAlignment="1">
      <alignment horizontal="center" textRotation="90"/>
    </xf>
    <xf numFmtId="0" fontId="77" fillId="0" borderId="15" xfId="3" applyFont="1" applyBorder="1" applyAlignment="1">
      <alignment horizontal="center" textRotation="90"/>
    </xf>
    <xf numFmtId="0" fontId="77" fillId="0" borderId="7" xfId="3" applyFont="1" applyBorder="1" applyAlignment="1">
      <alignment horizontal="center" textRotation="90"/>
    </xf>
    <xf numFmtId="0" fontId="77" fillId="0" borderId="9" xfId="3" applyFont="1" applyBorder="1" applyAlignment="1">
      <alignment horizontal="center" vertical="center" textRotation="90"/>
    </xf>
    <xf numFmtId="0" fontId="77" fillId="0" borderId="1" xfId="3" applyFont="1" applyBorder="1" applyAlignment="1">
      <alignment horizontal="center" vertical="center" textRotation="90"/>
    </xf>
    <xf numFmtId="0" fontId="84" fillId="0" borderId="0" xfId="3" applyFont="1" applyBorder="1" applyAlignment="1">
      <alignment horizontal="left" vertical="top" wrapText="1"/>
    </xf>
    <xf numFmtId="0" fontId="70" fillId="0" borderId="0" xfId="3" applyFont="1" applyBorder="1" applyAlignment="1">
      <alignment horizontal="center" vertical="top"/>
    </xf>
    <xf numFmtId="0" fontId="71" fillId="0" borderId="0" xfId="3" applyFont="1" applyBorder="1" applyAlignment="1">
      <alignment horizontal="center" vertical="top"/>
    </xf>
    <xf numFmtId="168" fontId="73" fillId="0" borderId="0" xfId="3" applyNumberFormat="1" applyFont="1" applyBorder="1" applyAlignment="1">
      <alignment horizontal="center" vertical="top"/>
    </xf>
    <xf numFmtId="0" fontId="77" fillId="0" borderId="2" xfId="3" applyFont="1" applyBorder="1" applyAlignment="1">
      <alignment horizontal="center" vertical="center" textRotation="90"/>
    </xf>
    <xf numFmtId="0" fontId="77" fillId="0" borderId="2" xfId="3" applyFont="1" applyBorder="1" applyAlignment="1">
      <alignment horizontal="center" vertical="center"/>
    </xf>
    <xf numFmtId="0" fontId="77" fillId="0" borderId="2" xfId="3" applyFont="1" applyBorder="1" applyAlignment="1">
      <alignment horizontal="center" textRotation="90"/>
    </xf>
    <xf numFmtId="0" fontId="81" fillId="0" borderId="13" xfId="3" applyFont="1" applyBorder="1" applyAlignment="1">
      <alignment horizontal="center" vertical="center" wrapText="1"/>
    </xf>
    <xf numFmtId="0" fontId="81" fillId="0" borderId="15" xfId="3" applyFont="1" applyBorder="1" applyAlignment="1">
      <alignment horizontal="center" vertical="center" wrapText="1"/>
    </xf>
    <xf numFmtId="0" fontId="81" fillId="0" borderId="7" xfId="3" applyFont="1" applyBorder="1" applyAlignment="1">
      <alignment horizontal="center" vertical="center" wrapText="1"/>
    </xf>
    <xf numFmtId="0" fontId="49" fillId="0" borderId="3" xfId="3" applyFont="1" applyBorder="1" applyAlignment="1">
      <alignment horizontal="center" vertical="center"/>
    </xf>
    <xf numFmtId="0" fontId="49" fillId="0" borderId="5" xfId="3" applyFont="1" applyBorder="1" applyAlignment="1">
      <alignment horizontal="center" vertical="center"/>
    </xf>
    <xf numFmtId="0" fontId="77" fillId="0" borderId="9" xfId="3" applyFont="1" applyBorder="1" applyAlignment="1">
      <alignment horizontal="center" textRotation="90"/>
    </xf>
    <xf numFmtId="0" fontId="77" fillId="0" borderId="1" xfId="3" applyFont="1" applyBorder="1" applyAlignment="1">
      <alignment horizontal="center" textRotation="90"/>
    </xf>
    <xf numFmtId="0" fontId="77" fillId="0" borderId="8" xfId="3" applyFont="1" applyBorder="1" applyAlignment="1">
      <alignment horizontal="center" textRotation="90"/>
    </xf>
    <xf numFmtId="0" fontId="77" fillId="0" borderId="16" xfId="3" applyFont="1" applyBorder="1" applyAlignment="1">
      <alignment horizontal="center" textRotation="90"/>
    </xf>
    <xf numFmtId="0" fontId="77" fillId="0" borderId="6" xfId="3" applyFont="1" applyBorder="1" applyAlignment="1">
      <alignment horizontal="center" textRotation="90"/>
    </xf>
    <xf numFmtId="0" fontId="77" fillId="0" borderId="0" xfId="3" applyFont="1" applyBorder="1" applyAlignment="1">
      <alignment horizontal="center" textRotation="90"/>
    </xf>
    <xf numFmtId="0" fontId="77" fillId="0" borderId="10" xfId="3" applyFont="1" applyBorder="1" applyAlignment="1">
      <alignment horizontal="center" textRotation="90"/>
    </xf>
    <xf numFmtId="0" fontId="77" fillId="0" borderId="11" xfId="3" applyFont="1" applyBorder="1" applyAlignment="1">
      <alignment horizontal="center" textRotation="90"/>
    </xf>
    <xf numFmtId="0" fontId="77" fillId="0" borderId="14" xfId="3" applyFont="1" applyBorder="1" applyAlignment="1">
      <alignment horizontal="center" textRotation="90"/>
    </xf>
    <xf numFmtId="0" fontId="78" fillId="0" borderId="3" xfId="3" applyFont="1" applyBorder="1" applyAlignment="1">
      <alignment horizontal="center" vertical="center"/>
    </xf>
    <xf numFmtId="0" fontId="78" fillId="0" borderId="5" xfId="3" applyFont="1" applyBorder="1" applyAlignment="1">
      <alignment horizontal="center" vertical="center"/>
    </xf>
    <xf numFmtId="0" fontId="78" fillId="0" borderId="4" xfId="3" applyFont="1" applyBorder="1" applyAlignment="1">
      <alignment horizontal="center" vertical="center"/>
    </xf>
    <xf numFmtId="0" fontId="63" fillId="0" borderId="0" xfId="3" applyFont="1" applyBorder="1" applyAlignment="1">
      <alignment horizontal="center" vertical="top"/>
    </xf>
    <xf numFmtId="0" fontId="90" fillId="0" borderId="0" xfId="3" applyFont="1" applyBorder="1" applyAlignment="1">
      <alignment horizontal="center" vertical="top"/>
    </xf>
    <xf numFmtId="0" fontId="53" fillId="0" borderId="0" xfId="3" applyFont="1" applyBorder="1" applyAlignment="1">
      <alignment horizontal="center" vertical="top"/>
    </xf>
    <xf numFmtId="0" fontId="61" fillId="0" borderId="0" xfId="3" applyFont="1" applyBorder="1" applyAlignment="1">
      <alignment horizontal="center" vertical="center"/>
    </xf>
    <xf numFmtId="0" fontId="1" fillId="0" borderId="0" xfId="3" applyBorder="1" applyAlignment="1">
      <alignment horizontal="left" vertical="center"/>
    </xf>
    <xf numFmtId="0" fontId="91" fillId="0" borderId="0" xfId="3" applyFont="1" applyBorder="1" applyAlignment="1">
      <alignment horizontal="center" vertical="top"/>
    </xf>
    <xf numFmtId="0" fontId="84" fillId="0" borderId="0" xfId="3" applyFont="1" applyBorder="1" applyAlignment="1">
      <alignment horizontal="left" textRotation="90"/>
    </xf>
    <xf numFmtId="0" fontId="76" fillId="0" borderId="0" xfId="3" applyFont="1" applyBorder="1" applyAlignment="1">
      <alignment horizontal="center" vertical="center" wrapText="1"/>
    </xf>
    <xf numFmtId="0" fontId="61" fillId="0" borderId="0" xfId="3" applyFont="1" applyBorder="1" applyAlignment="1">
      <alignment horizontal="center" vertical="top"/>
    </xf>
    <xf numFmtId="0" fontId="84" fillId="0" borderId="0" xfId="3" applyFont="1" applyBorder="1" applyAlignment="1">
      <alignment horizontal="center" vertical="center" textRotation="90"/>
    </xf>
    <xf numFmtId="0" fontId="84" fillId="0" borderId="0" xfId="3" applyFont="1" applyBorder="1" applyAlignment="1">
      <alignment horizontal="center" vertical="center"/>
    </xf>
    <xf numFmtId="0" fontId="84" fillId="0" borderId="0" xfId="3" applyFont="1" applyBorder="1" applyAlignment="1">
      <alignment horizontal="center" textRotation="90"/>
    </xf>
    <xf numFmtId="1" fontId="41" fillId="3" borderId="9" xfId="0" applyNumberFormat="1" applyFont="1" applyFill="1" applyBorder="1" applyAlignment="1">
      <alignment horizontal="left"/>
    </xf>
    <xf numFmtId="1" fontId="41" fillId="3" borderId="0" xfId="0" applyNumberFormat="1" applyFont="1" applyFill="1" applyBorder="1" applyAlignment="1">
      <alignment horizontal="left"/>
    </xf>
    <xf numFmtId="1" fontId="41" fillId="3" borderId="4" xfId="0" applyNumberFormat="1" applyFont="1" applyFill="1" applyBorder="1" applyAlignment="1">
      <alignment horizontal="left" vertical="center"/>
    </xf>
    <xf numFmtId="1" fontId="41" fillId="3" borderId="2" xfId="0" applyNumberFormat="1" applyFont="1" applyFill="1" applyBorder="1" applyAlignment="1">
      <alignment horizontal="left" vertical="center"/>
    </xf>
    <xf numFmtId="1" fontId="39" fillId="3" borderId="2" xfId="0" applyNumberFormat="1" applyFont="1" applyFill="1" applyBorder="1" applyAlignment="1">
      <alignment horizontal="right" vertical="center"/>
    </xf>
    <xf numFmtId="1" fontId="39" fillId="3" borderId="13" xfId="0" applyNumberFormat="1" applyFont="1" applyFill="1" applyBorder="1" applyAlignment="1">
      <alignment horizontal="center" vertical="top" wrapText="1"/>
    </xf>
    <xf numFmtId="1" fontId="39" fillId="3" borderId="15" xfId="0" applyNumberFormat="1" applyFont="1" applyFill="1" applyBorder="1" applyAlignment="1">
      <alignment horizontal="center" vertical="top" wrapText="1"/>
    </xf>
    <xf numFmtId="1" fontId="39" fillId="3" borderId="7" xfId="0" applyNumberFormat="1" applyFont="1" applyFill="1" applyBorder="1" applyAlignment="1">
      <alignment horizontal="center" vertical="top" wrapText="1"/>
    </xf>
    <xf numFmtId="0" fontId="95" fillId="0" borderId="0" xfId="3" applyFont="1" applyBorder="1" applyAlignment="1">
      <alignment horizontal="center" vertical="top" wrapText="1"/>
    </xf>
    <xf numFmtId="0" fontId="63" fillId="0" borderId="0" xfId="3" applyFont="1" applyBorder="1" applyAlignment="1">
      <alignment horizontal="center" vertical="top" wrapText="1"/>
    </xf>
    <xf numFmtId="0" fontId="39" fillId="3" borderId="0" xfId="0" applyFont="1" applyFill="1" applyBorder="1" applyAlignment="1">
      <alignment horizontal="center"/>
    </xf>
    <xf numFmtId="1" fontId="39" fillId="3" borderId="3" xfId="0" applyNumberFormat="1" applyFont="1" applyFill="1" applyBorder="1" applyAlignment="1">
      <alignment horizontal="center" vertical="center"/>
    </xf>
    <xf numFmtId="1" fontId="39" fillId="3" borderId="5" xfId="0" applyNumberFormat="1" applyFont="1" applyFill="1" applyBorder="1" applyAlignment="1">
      <alignment horizontal="center" vertical="center"/>
    </xf>
    <xf numFmtId="1" fontId="39" fillId="3" borderId="4" xfId="0" applyNumberFormat="1" applyFont="1" applyFill="1" applyBorder="1" applyAlignment="1">
      <alignment horizontal="center" vertical="center"/>
    </xf>
    <xf numFmtId="2" fontId="39" fillId="3" borderId="13" xfId="0" applyNumberFormat="1" applyFont="1" applyFill="1" applyBorder="1" applyAlignment="1">
      <alignment horizontal="center" vertical="top" wrapText="1"/>
    </xf>
    <xf numFmtId="2" fontId="39" fillId="3" borderId="15" xfId="0" applyNumberFormat="1" applyFont="1" applyFill="1" applyBorder="1" applyAlignment="1">
      <alignment horizontal="center" vertical="top" wrapText="1"/>
    </xf>
    <xf numFmtId="2" fontId="39" fillId="3" borderId="7" xfId="0" applyNumberFormat="1" applyFont="1" applyFill="1" applyBorder="1" applyAlignment="1">
      <alignment horizontal="center" vertical="top" wrapText="1"/>
    </xf>
    <xf numFmtId="1" fontId="39" fillId="3" borderId="13" xfId="0" applyNumberFormat="1" applyFont="1" applyFill="1" applyBorder="1" applyAlignment="1">
      <alignment horizontal="center" vertical="center" wrapText="1"/>
    </xf>
    <xf numFmtId="1" fontId="39" fillId="3" borderId="7" xfId="0" applyNumberFormat="1" applyFont="1" applyFill="1" applyBorder="1" applyAlignment="1">
      <alignment horizontal="center" vertical="center" wrapText="1"/>
    </xf>
    <xf numFmtId="1" fontId="39" fillId="3" borderId="2" xfId="0" applyNumberFormat="1" applyFont="1" applyFill="1" applyBorder="1" applyAlignment="1">
      <alignment horizontal="center" vertical="center"/>
    </xf>
    <xf numFmtId="1" fontId="103" fillId="3" borderId="0" xfId="0" applyNumberFormat="1" applyFont="1" applyFill="1" applyBorder="1" applyAlignment="1">
      <alignment horizontal="left" vertical="center"/>
    </xf>
    <xf numFmtId="1" fontId="39" fillId="3" borderId="0" xfId="0" applyNumberFormat="1" applyFont="1" applyFill="1" applyAlignment="1">
      <alignment horizontal="center" vertical="top" wrapText="1"/>
    </xf>
    <xf numFmtId="1" fontId="39" fillId="3" borderId="0" xfId="0" applyNumberFormat="1" applyFont="1" applyFill="1" applyAlignment="1">
      <alignment horizontal="center"/>
    </xf>
    <xf numFmtId="1" fontId="41" fillId="3" borderId="0" xfId="0" applyNumberFormat="1" applyFont="1" applyFill="1" applyAlignment="1">
      <alignment horizontal="right" vertical="center"/>
    </xf>
    <xf numFmtId="49" fontId="41" fillId="3" borderId="0" xfId="0" applyNumberFormat="1" applyFont="1" applyFill="1" applyAlignment="1">
      <alignment horizontal="left" vertical="center"/>
    </xf>
    <xf numFmtId="1" fontId="39" fillId="3" borderId="13" xfId="0" applyNumberFormat="1" applyFont="1" applyFill="1" applyBorder="1" applyAlignment="1">
      <alignment horizontal="center" vertical="top"/>
    </xf>
    <xf numFmtId="1" fontId="39" fillId="3" borderId="15" xfId="0" applyNumberFormat="1" applyFont="1" applyFill="1" applyBorder="1" applyAlignment="1">
      <alignment horizontal="center" vertical="top"/>
    </xf>
    <xf numFmtId="1" fontId="39" fillId="3" borderId="7" xfId="0" applyNumberFormat="1" applyFont="1" applyFill="1" applyBorder="1" applyAlignment="1">
      <alignment horizontal="center" vertical="top"/>
    </xf>
    <xf numFmtId="1" fontId="39" fillId="3" borderId="8" xfId="0" applyNumberFormat="1" applyFont="1" applyFill="1" applyBorder="1" applyAlignment="1">
      <alignment horizontal="center" vertical="top" wrapText="1"/>
    </xf>
    <xf numFmtId="1" fontId="39" fillId="3" borderId="10" xfId="0" applyNumberFormat="1" applyFont="1" applyFill="1" applyBorder="1" applyAlignment="1">
      <alignment horizontal="center" vertical="top" wrapText="1"/>
    </xf>
    <xf numFmtId="1" fontId="39" fillId="3" borderId="16" xfId="0" applyNumberFormat="1" applyFont="1" applyFill="1" applyBorder="1" applyAlignment="1">
      <alignment horizontal="center" vertical="top" wrapText="1"/>
    </xf>
    <xf numFmtId="1" fontId="39" fillId="3" borderId="11" xfId="0" applyNumberFormat="1" applyFont="1" applyFill="1" applyBorder="1" applyAlignment="1">
      <alignment horizontal="center" vertical="top" wrapText="1"/>
    </xf>
    <xf numFmtId="1" fontId="39" fillId="3" borderId="6" xfId="0" applyNumberFormat="1" applyFont="1" applyFill="1" applyBorder="1" applyAlignment="1">
      <alignment horizontal="center" vertical="top" wrapText="1"/>
    </xf>
    <xf numFmtId="1" fontId="39" fillId="3" borderId="14" xfId="0" applyNumberFormat="1" applyFont="1" applyFill="1" applyBorder="1" applyAlignment="1">
      <alignment horizontal="center" vertical="top" wrapText="1"/>
    </xf>
    <xf numFmtId="1" fontId="39" fillId="3" borderId="9" xfId="0" applyNumberFormat="1" applyFont="1" applyFill="1" applyBorder="1" applyAlignment="1">
      <alignment horizontal="center" vertical="top" wrapText="1"/>
    </xf>
    <xf numFmtId="1" fontId="39" fillId="3" borderId="1" xfId="0" applyNumberFormat="1" applyFont="1" applyFill="1" applyBorder="1" applyAlignment="1">
      <alignment horizontal="center" vertical="top" wrapText="1"/>
    </xf>
    <xf numFmtId="0" fontId="57" fillId="0" borderId="0" xfId="3" applyFont="1" applyBorder="1" applyAlignment="1">
      <alignment horizontal="center" vertical="top"/>
    </xf>
    <xf numFmtId="0" fontId="55" fillId="0" borderId="0" xfId="3" applyFont="1" applyBorder="1" applyAlignment="1">
      <alignment horizontal="center" vertical="top"/>
    </xf>
    <xf numFmtId="0" fontId="56" fillId="0" borderId="0" xfId="3" applyFont="1" applyBorder="1" applyAlignment="1">
      <alignment horizontal="center" vertical="top"/>
    </xf>
    <xf numFmtId="0" fontId="46" fillId="0" borderId="3" xfId="3" applyFont="1" applyBorder="1" applyAlignment="1">
      <alignment horizontal="left" vertical="top"/>
    </xf>
    <xf numFmtId="0" fontId="46" fillId="0" borderId="4" xfId="3" applyFont="1" applyBorder="1" applyAlignment="1">
      <alignment horizontal="left" vertical="top"/>
    </xf>
    <xf numFmtId="1" fontId="39" fillId="3" borderId="3" xfId="0" applyNumberFormat="1" applyFont="1" applyFill="1" applyBorder="1" applyAlignment="1">
      <alignment horizontal="left" vertical="center" wrapText="1"/>
    </xf>
    <xf numFmtId="1" fontId="39" fillId="3" borderId="4" xfId="0" applyNumberFormat="1" applyFont="1" applyFill="1" applyBorder="1" applyAlignment="1">
      <alignment horizontal="left" vertical="center" wrapText="1"/>
    </xf>
    <xf numFmtId="0" fontId="55" fillId="0" borderId="3" xfId="3" applyFont="1" applyBorder="1" applyAlignment="1">
      <alignment horizontal="left" vertical="top"/>
    </xf>
    <xf numFmtId="0" fontId="55" fillId="0" borderId="4" xfId="3" applyFont="1" applyBorder="1" applyAlignment="1">
      <alignment horizontal="left" vertical="top"/>
    </xf>
    <xf numFmtId="0" fontId="105" fillId="0" borderId="0" xfId="3" applyFont="1" applyBorder="1" applyAlignment="1">
      <alignment horizontal="center" vertical="top" wrapText="1"/>
    </xf>
    <xf numFmtId="0" fontId="53" fillId="0" borderId="3" xfId="3" applyFont="1" applyBorder="1" applyAlignment="1">
      <alignment horizontal="center" vertical="top"/>
    </xf>
    <xf numFmtId="0" fontId="53" fillId="0" borderId="5" xfId="3" applyFont="1" applyBorder="1" applyAlignment="1">
      <alignment horizontal="center" vertical="top"/>
    </xf>
    <xf numFmtId="0" fontId="53" fillId="0" borderId="4" xfId="3" applyFont="1" applyBorder="1" applyAlignment="1">
      <alignment horizontal="center" vertical="top"/>
    </xf>
    <xf numFmtId="0" fontId="66" fillId="0" borderId="8" xfId="3" applyFont="1" applyBorder="1" applyAlignment="1">
      <alignment horizontal="center" vertical="top"/>
    </xf>
    <xf numFmtId="0" fontId="66" fillId="0" borderId="9" xfId="3" applyFont="1" applyBorder="1" applyAlignment="1">
      <alignment horizontal="center" vertical="top"/>
    </xf>
    <xf numFmtId="0" fontId="66" fillId="0" borderId="10" xfId="3" applyFont="1" applyBorder="1" applyAlignment="1">
      <alignment horizontal="center" vertical="top"/>
    </xf>
    <xf numFmtId="0" fontId="69" fillId="0" borderId="3" xfId="3" applyFont="1" applyBorder="1" applyAlignment="1">
      <alignment horizontal="center" vertical="top"/>
    </xf>
    <xf numFmtId="0" fontId="69" fillId="0" borderId="5" xfId="3" applyFont="1" applyBorder="1" applyAlignment="1">
      <alignment horizontal="center" vertical="top"/>
    </xf>
    <xf numFmtId="0" fontId="69" fillId="0" borderId="4" xfId="3" applyFont="1" applyBorder="1" applyAlignment="1">
      <alignment horizontal="center" vertical="top"/>
    </xf>
    <xf numFmtId="0" fontId="66" fillId="0" borderId="3" xfId="3" applyFont="1" applyBorder="1" applyAlignment="1">
      <alignment horizontal="center" vertical="top"/>
    </xf>
    <xf numFmtId="0" fontId="66" fillId="0" borderId="5" xfId="3" applyFont="1" applyBorder="1" applyAlignment="1">
      <alignment horizontal="center" vertical="top"/>
    </xf>
    <xf numFmtId="0" fontId="66" fillId="0" borderId="4" xfId="3" applyFont="1" applyBorder="1" applyAlignment="1">
      <alignment horizontal="center" vertical="top"/>
    </xf>
    <xf numFmtId="0" fontId="53" fillId="0" borderId="0" xfId="3" applyFont="1" applyFill="1" applyBorder="1" applyAlignment="1">
      <alignment vertical="top"/>
    </xf>
    <xf numFmtId="0" fontId="53" fillId="0" borderId="0" xfId="3" applyFont="1" applyFill="1" applyBorder="1" applyAlignment="1">
      <alignment horizontal="center" vertical="top"/>
    </xf>
    <xf numFmtId="0" fontId="4" fillId="0" borderId="2" xfId="0" applyFont="1" applyFill="1" applyBorder="1" applyAlignment="1">
      <alignment horizontal="center"/>
    </xf>
    <xf numFmtId="0" fontId="10" fillId="0" borderId="0" xfId="0" applyFont="1" applyFill="1" applyAlignment="1">
      <alignment horizontal="center"/>
    </xf>
    <xf numFmtId="0" fontId="16" fillId="0" borderId="0" xfId="0" applyFont="1" applyFill="1" applyBorder="1" applyAlignment="1">
      <alignment horizontal="center"/>
    </xf>
    <xf numFmtId="0" fontId="16" fillId="0" borderId="0" xfId="0" applyFont="1" applyFill="1" applyAlignment="1">
      <alignment horizontal="left"/>
    </xf>
    <xf numFmtId="0" fontId="17" fillId="0" borderId="0" xfId="0" applyFont="1" applyFill="1" applyBorder="1" applyAlignment="1">
      <alignment horizontal="right" vertical="justify" wrapText="1"/>
    </xf>
    <xf numFmtId="0" fontId="4" fillId="0" borderId="2" xfId="0" applyFont="1" applyFill="1" applyBorder="1" applyAlignment="1">
      <alignment horizontal="center" vertical="center"/>
    </xf>
    <xf numFmtId="0" fontId="12" fillId="0" borderId="3" xfId="0" applyFont="1" applyFill="1" applyBorder="1" applyAlignment="1">
      <alignment horizontal="center" vertical="center"/>
    </xf>
    <xf numFmtId="0" fontId="12" fillId="0" borderId="4" xfId="0" applyFont="1" applyFill="1" applyBorder="1" applyAlignment="1">
      <alignment horizontal="center" vertical="center"/>
    </xf>
    <xf numFmtId="0" fontId="4" fillId="0" borderId="3" xfId="0" applyFont="1" applyFill="1" applyBorder="1" applyAlignment="1">
      <alignment horizontal="center" vertical="center"/>
    </xf>
    <xf numFmtId="0" fontId="4" fillId="0" borderId="5" xfId="0" applyFont="1" applyFill="1" applyBorder="1" applyAlignment="1">
      <alignment horizontal="center" vertical="center"/>
    </xf>
    <xf numFmtId="0" fontId="23" fillId="0" borderId="0" xfId="0" applyFont="1" applyFill="1" applyAlignment="1">
      <alignment horizontal="center"/>
    </xf>
    <xf numFmtId="0" fontId="24" fillId="0" borderId="0" xfId="0" applyFont="1" applyFill="1" applyAlignment="1">
      <alignment horizontal="left"/>
    </xf>
    <xf numFmtId="0" fontId="31" fillId="0" borderId="0" xfId="0" applyFont="1" applyFill="1" applyAlignment="1">
      <alignment horizontal="center"/>
    </xf>
    <xf numFmtId="0" fontId="5" fillId="0" borderId="3" xfId="0" applyFont="1" applyFill="1" applyBorder="1" applyAlignment="1">
      <alignment horizontal="left"/>
    </xf>
    <xf numFmtId="0" fontId="5" fillId="0" borderId="5" xfId="0" applyFont="1" applyFill="1" applyBorder="1" applyAlignment="1">
      <alignment horizontal="left"/>
    </xf>
    <xf numFmtId="0" fontId="5" fillId="0" borderId="4" xfId="0" applyFont="1" applyFill="1" applyBorder="1" applyAlignment="1">
      <alignment horizontal="left"/>
    </xf>
    <xf numFmtId="0" fontId="11" fillId="0" borderId="3" xfId="0" applyFont="1" applyFill="1" applyBorder="1" applyAlignment="1">
      <alignment horizontal="left"/>
    </xf>
    <xf numFmtId="0" fontId="11" fillId="0" borderId="5" xfId="0" applyFont="1" applyFill="1" applyBorder="1" applyAlignment="1">
      <alignment horizontal="left"/>
    </xf>
    <xf numFmtId="0" fontId="11" fillId="0" borderId="4" xfId="0" applyFont="1" applyFill="1" applyBorder="1" applyAlignment="1">
      <alignment horizontal="left"/>
    </xf>
    <xf numFmtId="0" fontId="5" fillId="0" borderId="6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5" fillId="0" borderId="14" xfId="0" applyFont="1" applyFill="1" applyBorder="1" applyAlignment="1">
      <alignment horizontal="left"/>
    </xf>
    <xf numFmtId="0" fontId="31" fillId="0" borderId="0" xfId="0" applyFont="1" applyFill="1" applyAlignment="1">
      <alignment horizontal="center" vertical="center"/>
    </xf>
    <xf numFmtId="0" fontId="5" fillId="0" borderId="3" xfId="0" applyFont="1" applyFill="1" applyBorder="1" applyAlignment="1">
      <alignment horizontal="center"/>
    </xf>
    <xf numFmtId="0" fontId="5" fillId="0" borderId="5" xfId="0" applyFont="1" applyFill="1" applyBorder="1" applyAlignment="1">
      <alignment horizontal="center"/>
    </xf>
    <xf numFmtId="0" fontId="5" fillId="0" borderId="4" xfId="0" applyFont="1" applyFill="1" applyBorder="1" applyAlignment="1">
      <alignment horizontal="center"/>
    </xf>
    <xf numFmtId="0" fontId="5" fillId="0" borderId="0" xfId="0" applyFont="1" applyFill="1" applyAlignment="1">
      <alignment horizontal="left"/>
    </xf>
    <xf numFmtId="0" fontId="11" fillId="0" borderId="8" xfId="0" applyFont="1" applyFill="1" applyBorder="1" applyAlignment="1">
      <alignment horizontal="center"/>
    </xf>
    <xf numFmtId="0" fontId="11" fillId="0" borderId="9" xfId="0" applyFont="1" applyFill="1" applyBorder="1" applyAlignment="1">
      <alignment horizontal="center"/>
    </xf>
    <xf numFmtId="0" fontId="11" fillId="0" borderId="6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1" fillId="0" borderId="8" xfId="0" applyFont="1" applyFill="1" applyBorder="1" applyAlignment="1">
      <alignment horizontal="left"/>
    </xf>
    <xf numFmtId="0" fontId="11" fillId="0" borderId="9" xfId="0" applyFont="1" applyFill="1" applyBorder="1" applyAlignment="1">
      <alignment horizontal="left"/>
    </xf>
    <xf numFmtId="0" fontId="11" fillId="0" borderId="10" xfId="0" applyFont="1" applyFill="1" applyBorder="1" applyAlignment="1">
      <alignment horizontal="left"/>
    </xf>
    <xf numFmtId="0" fontId="10" fillId="0" borderId="3" xfId="0" applyFont="1" applyFill="1" applyBorder="1" applyAlignment="1">
      <alignment horizontal="right"/>
    </xf>
    <xf numFmtId="0" fontId="10" fillId="0" borderId="5" xfId="0" applyFont="1" applyFill="1" applyBorder="1" applyAlignment="1">
      <alignment horizontal="right"/>
    </xf>
    <xf numFmtId="0" fontId="12" fillId="0" borderId="5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left"/>
    </xf>
    <xf numFmtId="0" fontId="8" fillId="0" borderId="10" xfId="0" applyFont="1" applyFill="1" applyBorder="1" applyAlignment="1">
      <alignment horizontal="left"/>
    </xf>
    <xf numFmtId="0" fontId="12" fillId="0" borderId="5" xfId="0" applyFont="1" applyFill="1" applyBorder="1" applyAlignment="1">
      <alignment horizontal="left" vertical="center" wrapText="1"/>
    </xf>
    <xf numFmtId="0" fontId="12" fillId="0" borderId="4" xfId="0" applyFont="1" applyFill="1" applyBorder="1" applyAlignment="1">
      <alignment horizontal="left" vertical="center" wrapText="1"/>
    </xf>
    <xf numFmtId="0" fontId="4" fillId="0" borderId="13" xfId="0" applyFont="1" applyFill="1" applyBorder="1" applyAlignment="1">
      <alignment horizontal="center" vertical="center"/>
    </xf>
    <xf numFmtId="0" fontId="4" fillId="0" borderId="7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left"/>
    </xf>
    <xf numFmtId="0" fontId="7" fillId="0" borderId="1" xfId="0" applyFont="1" applyFill="1" applyBorder="1" applyAlignment="1">
      <alignment horizontal="left"/>
    </xf>
    <xf numFmtId="0" fontId="7" fillId="0" borderId="14" xfId="0" applyFont="1" applyFill="1" applyBorder="1" applyAlignment="1">
      <alignment horizontal="left"/>
    </xf>
    <xf numFmtId="0" fontId="32" fillId="0" borderId="3" xfId="0" applyFont="1" applyFill="1" applyBorder="1" applyAlignment="1">
      <alignment horizontal="left"/>
    </xf>
    <xf numFmtId="0" fontId="32" fillId="0" borderId="5" xfId="0" applyFont="1" applyFill="1" applyBorder="1" applyAlignment="1">
      <alignment horizontal="left"/>
    </xf>
    <xf numFmtId="0" fontId="32" fillId="0" borderId="4" xfId="0" applyFont="1" applyFill="1" applyBorder="1" applyAlignment="1">
      <alignment horizontal="left"/>
    </xf>
    <xf numFmtId="0" fontId="32" fillId="0" borderId="8" xfId="0" applyFont="1" applyFill="1" applyBorder="1" applyAlignment="1">
      <alignment horizontal="left"/>
    </xf>
    <xf numFmtId="0" fontId="32" fillId="0" borderId="9" xfId="0" applyFont="1" applyFill="1" applyBorder="1" applyAlignment="1">
      <alignment horizontal="left"/>
    </xf>
    <xf numFmtId="0" fontId="32" fillId="0" borderId="10" xfId="0" applyFont="1" applyFill="1" applyBorder="1" applyAlignment="1">
      <alignment horizontal="left"/>
    </xf>
    <xf numFmtId="0" fontId="37" fillId="0" borderId="3" xfId="0" applyFont="1" applyFill="1" applyBorder="1" applyAlignment="1">
      <alignment horizontal="center" vertical="center"/>
    </xf>
    <xf numFmtId="0" fontId="37" fillId="0" borderId="5" xfId="0" applyFont="1" applyFill="1" applyBorder="1" applyAlignment="1">
      <alignment horizontal="center" vertical="center"/>
    </xf>
    <xf numFmtId="0" fontId="37" fillId="0" borderId="4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right"/>
    </xf>
    <xf numFmtId="0" fontId="12" fillId="0" borderId="3" xfId="0" applyFont="1" applyFill="1" applyBorder="1" applyAlignment="1">
      <alignment horizontal="center"/>
    </xf>
    <xf numFmtId="0" fontId="12" fillId="0" borderId="5" xfId="0" applyFont="1" applyFill="1" applyBorder="1" applyAlignment="1">
      <alignment horizontal="center"/>
    </xf>
    <xf numFmtId="0" fontId="12" fillId="0" borderId="4" xfId="0" applyFont="1" applyFill="1" applyBorder="1" applyAlignment="1">
      <alignment horizontal="center"/>
    </xf>
    <xf numFmtId="0" fontId="36" fillId="0" borderId="3" xfId="0" applyFont="1" applyFill="1" applyBorder="1" applyAlignment="1">
      <alignment horizontal="center" vertical="center"/>
    </xf>
    <xf numFmtId="0" fontId="36" fillId="0" borderId="5" xfId="0" applyFont="1" applyFill="1" applyBorder="1" applyAlignment="1">
      <alignment horizontal="center" vertical="center"/>
    </xf>
    <xf numFmtId="0" fontId="36" fillId="0" borderId="4" xfId="0" applyFont="1" applyFill="1" applyBorder="1" applyAlignment="1">
      <alignment horizontal="center" vertical="center"/>
    </xf>
    <xf numFmtId="0" fontId="8" fillId="0" borderId="0" xfId="0" applyFont="1" applyFill="1" applyAlignment="1">
      <alignment horizontal="right"/>
    </xf>
    <xf numFmtId="0" fontId="8" fillId="0" borderId="5" xfId="0" applyFont="1" applyFill="1" applyBorder="1" applyAlignment="1">
      <alignment horizontal="left"/>
    </xf>
    <xf numFmtId="0" fontId="8" fillId="0" borderId="4" xfId="0" applyFont="1" applyFill="1" applyBorder="1" applyAlignment="1">
      <alignment horizontal="left"/>
    </xf>
    <xf numFmtId="0" fontId="7" fillId="0" borderId="3" xfId="0" applyFont="1" applyFill="1" applyBorder="1" applyAlignment="1">
      <alignment horizontal="left"/>
    </xf>
    <xf numFmtId="1" fontId="17" fillId="0" borderId="0" xfId="0" applyNumberFormat="1" applyFont="1" applyFill="1" applyBorder="1" applyAlignment="1">
      <alignment horizontal="center" vertical="center"/>
    </xf>
    <xf numFmtId="0" fontId="10" fillId="0" borderId="0" xfId="0" applyFont="1" applyFill="1" applyAlignment="1">
      <alignment horizontal="center" wrapText="1"/>
    </xf>
  </cellXfs>
  <cellStyles count="7">
    <cellStyle name="Comma" xfId="1" builtinId="3"/>
    <cellStyle name="Comma 2" xfId="4"/>
    <cellStyle name="Comma 3" xfId="5"/>
    <cellStyle name="Comma 4" xfId="6"/>
    <cellStyle name="Normal" xfId="0" builtinId="0"/>
    <cellStyle name="Normal 2" xfId="3"/>
    <cellStyle name="Percent" xfId="2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4</xdr:row>
      <xdr:rowOff>194787</xdr:rowOff>
    </xdr:from>
    <xdr:to>
      <xdr:col>7</xdr:col>
      <xdr:colOff>727587</xdr:colOff>
      <xdr:row>8</xdr:row>
      <xdr:rowOff>69056</xdr:rowOff>
    </xdr:to>
    <xdr:cxnSp macro="">
      <xdr:nvCxnSpPr>
        <xdr:cNvPr id="2" name="Straight Connector 1"/>
        <xdr:cNvCxnSpPr/>
      </xdr:nvCxnSpPr>
      <xdr:spPr>
        <a:xfrm rot="5400000">
          <a:off x="4085036" y="1334692"/>
          <a:ext cx="723899" cy="72627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28</xdr:row>
      <xdr:rowOff>49530</xdr:rowOff>
    </xdr:from>
    <xdr:to>
      <xdr:col>8</xdr:col>
      <xdr:colOff>0</xdr:colOff>
      <xdr:row>32</xdr:row>
      <xdr:rowOff>36</xdr:rowOff>
    </xdr:to>
    <xdr:cxnSp macro="">
      <xdr:nvCxnSpPr>
        <xdr:cNvPr id="3" name="Straight Connector 2"/>
        <xdr:cNvCxnSpPr/>
      </xdr:nvCxnSpPr>
      <xdr:spPr>
        <a:xfrm rot="10800000" flipV="1">
          <a:off x="3571875" y="5895975"/>
          <a:ext cx="1285875" cy="5905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8</xdr:col>
      <xdr:colOff>0</xdr:colOff>
      <xdr:row>19</xdr:row>
      <xdr:rowOff>51911</xdr:rowOff>
    </xdr:from>
    <xdr:ext cx="186209" cy="281094"/>
    <xdr:sp macro="" textlink="">
      <xdr:nvSpPr>
        <xdr:cNvPr id="4" name="TextBox 3"/>
        <xdr:cNvSpPr txBox="1"/>
      </xdr:nvSpPr>
      <xdr:spPr>
        <a:xfrm>
          <a:off x="5100637" y="4469606"/>
          <a:ext cx="193968" cy="3037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7</xdr:col>
      <xdr:colOff>0</xdr:colOff>
      <xdr:row>94</xdr:row>
      <xdr:rowOff>11907</xdr:rowOff>
    </xdr:from>
    <xdr:to>
      <xdr:col>7</xdr:col>
      <xdr:colOff>746760</xdr:colOff>
      <xdr:row>97</xdr:row>
      <xdr:rowOff>88106</xdr:rowOff>
    </xdr:to>
    <xdr:cxnSp macro="">
      <xdr:nvCxnSpPr>
        <xdr:cNvPr id="5" name="Straight Connector 4"/>
        <xdr:cNvCxnSpPr/>
      </xdr:nvCxnSpPr>
      <xdr:spPr>
        <a:xfrm rot="5400000">
          <a:off x="4185049" y="17817704"/>
          <a:ext cx="561974" cy="72627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117</xdr:row>
      <xdr:rowOff>49530</xdr:rowOff>
    </xdr:from>
    <xdr:to>
      <xdr:col>8</xdr:col>
      <xdr:colOff>0</xdr:colOff>
      <xdr:row>121</xdr:row>
      <xdr:rowOff>36</xdr:rowOff>
    </xdr:to>
    <xdr:cxnSp macro="">
      <xdr:nvCxnSpPr>
        <xdr:cNvPr id="6" name="Straight Connector 5"/>
        <xdr:cNvCxnSpPr/>
      </xdr:nvCxnSpPr>
      <xdr:spPr>
        <a:xfrm rot="10800000" flipV="1">
          <a:off x="3571875" y="21497925"/>
          <a:ext cx="1285875" cy="5905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8</xdr:col>
      <xdr:colOff>0</xdr:colOff>
      <xdr:row>108</xdr:row>
      <xdr:rowOff>51911</xdr:rowOff>
    </xdr:from>
    <xdr:ext cx="186209" cy="281094"/>
    <xdr:sp macro="" textlink="">
      <xdr:nvSpPr>
        <xdr:cNvPr id="7" name="TextBox 6"/>
        <xdr:cNvSpPr txBox="1"/>
      </xdr:nvSpPr>
      <xdr:spPr>
        <a:xfrm>
          <a:off x="5100637" y="20214431"/>
          <a:ext cx="193968" cy="3037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7</xdr:col>
      <xdr:colOff>28576</xdr:colOff>
      <xdr:row>48</xdr:row>
      <xdr:rowOff>329563</xdr:rowOff>
    </xdr:from>
    <xdr:to>
      <xdr:col>8</xdr:col>
      <xdr:colOff>1</xdr:colOff>
      <xdr:row>54</xdr:row>
      <xdr:rowOff>9524</xdr:rowOff>
    </xdr:to>
    <xdr:cxnSp macro="">
      <xdr:nvCxnSpPr>
        <xdr:cNvPr id="8" name="Straight Connector 7"/>
        <xdr:cNvCxnSpPr/>
      </xdr:nvCxnSpPr>
      <xdr:spPr>
        <a:xfrm rot="5400000">
          <a:off x="4333875" y="11068049"/>
          <a:ext cx="1104901" cy="72390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72</xdr:row>
      <xdr:rowOff>11430</xdr:rowOff>
    </xdr:from>
    <xdr:to>
      <xdr:col>8</xdr:col>
      <xdr:colOff>0</xdr:colOff>
      <xdr:row>76</xdr:row>
      <xdr:rowOff>161969</xdr:rowOff>
    </xdr:to>
    <xdr:cxnSp macro="">
      <xdr:nvCxnSpPr>
        <xdr:cNvPr id="9" name="Straight Connector 8"/>
        <xdr:cNvCxnSpPr/>
      </xdr:nvCxnSpPr>
      <xdr:spPr>
        <a:xfrm rot="10800000" flipV="1">
          <a:off x="3571875" y="13877925"/>
          <a:ext cx="1285875" cy="81915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8</xdr:col>
      <xdr:colOff>0</xdr:colOff>
      <xdr:row>64</xdr:row>
      <xdr:rowOff>51911</xdr:rowOff>
    </xdr:from>
    <xdr:ext cx="186209" cy="281094"/>
    <xdr:sp macro="" textlink="">
      <xdr:nvSpPr>
        <xdr:cNvPr id="10" name="TextBox 9"/>
        <xdr:cNvSpPr txBox="1"/>
      </xdr:nvSpPr>
      <xdr:spPr>
        <a:xfrm>
          <a:off x="5100637" y="12299156"/>
          <a:ext cx="193968" cy="3037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8</xdr:col>
      <xdr:colOff>0</xdr:colOff>
      <xdr:row>134</xdr:row>
      <xdr:rowOff>0</xdr:rowOff>
    </xdr:from>
    <xdr:ext cx="186209" cy="256292"/>
    <xdr:sp macro="" textlink="">
      <xdr:nvSpPr>
        <xdr:cNvPr id="11" name="TextBox 10"/>
        <xdr:cNvSpPr txBox="1"/>
      </xdr:nvSpPr>
      <xdr:spPr>
        <a:xfrm>
          <a:off x="11463337" y="0"/>
          <a:ext cx="193968" cy="3037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7</xdr:col>
      <xdr:colOff>0</xdr:colOff>
      <xdr:row>144</xdr:row>
      <xdr:rowOff>228600</xdr:rowOff>
    </xdr:from>
    <xdr:to>
      <xdr:col>8</xdr:col>
      <xdr:colOff>0</xdr:colOff>
      <xdr:row>147</xdr:row>
      <xdr:rowOff>211475</xdr:rowOff>
    </xdr:to>
    <xdr:cxnSp macro="">
      <xdr:nvCxnSpPr>
        <xdr:cNvPr id="12" name="Straight Connector 11"/>
        <xdr:cNvCxnSpPr/>
      </xdr:nvCxnSpPr>
      <xdr:spPr>
        <a:xfrm rot="5400000">
          <a:off x="10607278" y="1584722"/>
          <a:ext cx="485774" cy="72627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</xdr:col>
      <xdr:colOff>0</xdr:colOff>
      <xdr:row>364</xdr:row>
      <xdr:rowOff>2382</xdr:rowOff>
    </xdr:from>
    <xdr:to>
      <xdr:col>7</xdr:col>
      <xdr:colOff>565865</xdr:colOff>
      <xdr:row>368</xdr:row>
      <xdr:rowOff>70961</xdr:rowOff>
    </xdr:to>
    <xdr:cxnSp macro="">
      <xdr:nvCxnSpPr>
        <xdr:cNvPr id="13" name="Straight Connector 12"/>
        <xdr:cNvCxnSpPr/>
      </xdr:nvCxnSpPr>
      <xdr:spPr>
        <a:xfrm rot="5400000">
          <a:off x="4246961" y="1534717"/>
          <a:ext cx="819149" cy="85962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8</xdr:col>
      <xdr:colOff>0</xdr:colOff>
      <xdr:row>379</xdr:row>
      <xdr:rowOff>0</xdr:rowOff>
    </xdr:from>
    <xdr:ext cx="186209" cy="256292"/>
    <xdr:sp macro="" textlink="">
      <xdr:nvSpPr>
        <xdr:cNvPr id="14" name="TextBox 13"/>
        <xdr:cNvSpPr txBox="1"/>
      </xdr:nvSpPr>
      <xdr:spPr>
        <a:xfrm>
          <a:off x="5643562" y="4831556"/>
          <a:ext cx="193968" cy="3037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8</xdr:col>
      <xdr:colOff>0</xdr:colOff>
      <xdr:row>425</xdr:row>
      <xdr:rowOff>51911</xdr:rowOff>
    </xdr:from>
    <xdr:ext cx="186209" cy="264058"/>
    <xdr:sp macro="" textlink="">
      <xdr:nvSpPr>
        <xdr:cNvPr id="15" name="TextBox 14"/>
        <xdr:cNvSpPr txBox="1"/>
      </xdr:nvSpPr>
      <xdr:spPr>
        <a:xfrm>
          <a:off x="5643562" y="15442406"/>
          <a:ext cx="193968" cy="3037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7</xdr:col>
      <xdr:colOff>0</xdr:colOff>
      <xdr:row>163</xdr:row>
      <xdr:rowOff>2382</xdr:rowOff>
    </xdr:from>
    <xdr:to>
      <xdr:col>7</xdr:col>
      <xdr:colOff>565865</xdr:colOff>
      <xdr:row>166</xdr:row>
      <xdr:rowOff>78581</xdr:rowOff>
    </xdr:to>
    <xdr:cxnSp macro="">
      <xdr:nvCxnSpPr>
        <xdr:cNvPr id="16" name="Straight Connector 15"/>
        <xdr:cNvCxnSpPr/>
      </xdr:nvCxnSpPr>
      <xdr:spPr>
        <a:xfrm rot="5400000">
          <a:off x="4142186" y="17470042"/>
          <a:ext cx="1028699" cy="859629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8</xdr:col>
      <xdr:colOff>0</xdr:colOff>
      <xdr:row>177</xdr:row>
      <xdr:rowOff>51911</xdr:rowOff>
    </xdr:from>
    <xdr:ext cx="186209" cy="281094"/>
    <xdr:sp macro="" textlink="">
      <xdr:nvSpPr>
        <xdr:cNvPr id="17" name="TextBox 16"/>
        <xdr:cNvSpPr txBox="1"/>
      </xdr:nvSpPr>
      <xdr:spPr>
        <a:xfrm>
          <a:off x="5643562" y="20738306"/>
          <a:ext cx="193968" cy="3037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7</xdr:col>
      <xdr:colOff>152400</xdr:colOff>
      <xdr:row>439</xdr:row>
      <xdr:rowOff>190500</xdr:rowOff>
    </xdr:from>
    <xdr:to>
      <xdr:col>7</xdr:col>
      <xdr:colOff>502920</xdr:colOff>
      <xdr:row>443</xdr:row>
      <xdr:rowOff>30480</xdr:rowOff>
    </xdr:to>
    <xdr:cxnSp macro="">
      <xdr:nvCxnSpPr>
        <xdr:cNvPr id="18" name="Straight Connector 17"/>
        <xdr:cNvCxnSpPr/>
      </xdr:nvCxnSpPr>
      <xdr:spPr>
        <a:xfrm rot="5400000">
          <a:off x="4625340" y="93680280"/>
          <a:ext cx="655320" cy="35052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8</xdr:col>
      <xdr:colOff>0</xdr:colOff>
      <xdr:row>453</xdr:row>
      <xdr:rowOff>51911</xdr:rowOff>
    </xdr:from>
    <xdr:ext cx="186209" cy="281094"/>
    <xdr:sp macro="" textlink="">
      <xdr:nvSpPr>
        <xdr:cNvPr id="19" name="TextBox 18"/>
        <xdr:cNvSpPr txBox="1"/>
      </xdr:nvSpPr>
      <xdr:spPr>
        <a:xfrm>
          <a:off x="5643562" y="31596806"/>
          <a:ext cx="193968" cy="3037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7</xdr:col>
      <xdr:colOff>0</xdr:colOff>
      <xdr:row>274</xdr:row>
      <xdr:rowOff>2382</xdr:rowOff>
    </xdr:from>
    <xdr:to>
      <xdr:col>7</xdr:col>
      <xdr:colOff>565865</xdr:colOff>
      <xdr:row>277</xdr:row>
      <xdr:rowOff>78581</xdr:rowOff>
    </xdr:to>
    <xdr:cxnSp macro="">
      <xdr:nvCxnSpPr>
        <xdr:cNvPr id="20" name="Straight Connector 19"/>
        <xdr:cNvCxnSpPr/>
      </xdr:nvCxnSpPr>
      <xdr:spPr>
        <a:xfrm rot="5400000">
          <a:off x="11204973" y="10340580"/>
          <a:ext cx="666749" cy="77390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8</xdr:col>
      <xdr:colOff>0</xdr:colOff>
      <xdr:row>286</xdr:row>
      <xdr:rowOff>0</xdr:rowOff>
    </xdr:from>
    <xdr:ext cx="186209" cy="256292"/>
    <xdr:sp macro="" textlink="">
      <xdr:nvSpPr>
        <xdr:cNvPr id="21" name="TextBox 20"/>
        <xdr:cNvSpPr txBox="1"/>
      </xdr:nvSpPr>
      <xdr:spPr>
        <a:xfrm>
          <a:off x="12292012" y="13013531"/>
          <a:ext cx="193968" cy="3037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7</xdr:col>
      <xdr:colOff>0</xdr:colOff>
      <xdr:row>295</xdr:row>
      <xdr:rowOff>2382</xdr:rowOff>
    </xdr:from>
    <xdr:to>
      <xdr:col>7</xdr:col>
      <xdr:colOff>565865</xdr:colOff>
      <xdr:row>300</xdr:row>
      <xdr:rowOff>70961</xdr:rowOff>
    </xdr:to>
    <xdr:cxnSp macro="">
      <xdr:nvCxnSpPr>
        <xdr:cNvPr id="22" name="Straight Connector 21"/>
        <xdr:cNvCxnSpPr/>
      </xdr:nvCxnSpPr>
      <xdr:spPr>
        <a:xfrm rot="5400000">
          <a:off x="11119248" y="14445855"/>
          <a:ext cx="838199" cy="773904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8</xdr:col>
      <xdr:colOff>0</xdr:colOff>
      <xdr:row>312</xdr:row>
      <xdr:rowOff>51911</xdr:rowOff>
    </xdr:from>
    <xdr:ext cx="186209" cy="281094"/>
    <xdr:sp macro="" textlink="">
      <xdr:nvSpPr>
        <xdr:cNvPr id="23" name="TextBox 22"/>
        <xdr:cNvSpPr txBox="1"/>
      </xdr:nvSpPr>
      <xdr:spPr>
        <a:xfrm>
          <a:off x="12292012" y="17090231"/>
          <a:ext cx="193968" cy="3037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6</xdr:col>
      <xdr:colOff>718185</xdr:colOff>
      <xdr:row>327</xdr:row>
      <xdr:rowOff>116682</xdr:rowOff>
    </xdr:from>
    <xdr:to>
      <xdr:col>7</xdr:col>
      <xdr:colOff>462966</xdr:colOff>
      <xdr:row>332</xdr:row>
      <xdr:rowOff>13840</xdr:rowOff>
    </xdr:to>
    <xdr:cxnSp macro="">
      <xdr:nvCxnSpPr>
        <xdr:cNvPr id="24" name="Straight Connector 23"/>
        <xdr:cNvCxnSpPr/>
      </xdr:nvCxnSpPr>
      <xdr:spPr>
        <a:xfrm rot="5400000">
          <a:off x="4157663" y="69244369"/>
          <a:ext cx="1028699" cy="542925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8</xdr:col>
      <xdr:colOff>0</xdr:colOff>
      <xdr:row>333</xdr:row>
      <xdr:rowOff>51911</xdr:rowOff>
    </xdr:from>
    <xdr:ext cx="186209" cy="264058"/>
    <xdr:sp macro="" textlink="">
      <xdr:nvSpPr>
        <xdr:cNvPr id="25" name="TextBox 24"/>
        <xdr:cNvSpPr txBox="1"/>
      </xdr:nvSpPr>
      <xdr:spPr>
        <a:xfrm>
          <a:off x="12292012" y="21052631"/>
          <a:ext cx="193968" cy="3037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8</xdr:col>
      <xdr:colOff>0</xdr:colOff>
      <xdr:row>267</xdr:row>
      <xdr:rowOff>59531</xdr:rowOff>
    </xdr:from>
    <xdr:ext cx="186209" cy="264058"/>
    <xdr:sp macro="" textlink="">
      <xdr:nvSpPr>
        <xdr:cNvPr id="26" name="TextBox 25"/>
        <xdr:cNvSpPr txBox="1"/>
      </xdr:nvSpPr>
      <xdr:spPr>
        <a:xfrm>
          <a:off x="12292012" y="4669631"/>
          <a:ext cx="193968" cy="3037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6</xdr:col>
      <xdr:colOff>605790</xdr:colOff>
      <xdr:row>345</xdr:row>
      <xdr:rowOff>180977</xdr:rowOff>
    </xdr:from>
    <xdr:to>
      <xdr:col>7</xdr:col>
      <xdr:colOff>472441</xdr:colOff>
      <xdr:row>350</xdr:row>
      <xdr:rowOff>85725</xdr:rowOff>
    </xdr:to>
    <xdr:cxnSp macro="">
      <xdr:nvCxnSpPr>
        <xdr:cNvPr id="27" name="Straight Connector 26"/>
        <xdr:cNvCxnSpPr/>
      </xdr:nvCxnSpPr>
      <xdr:spPr>
        <a:xfrm rot="10800000" flipV="1">
          <a:off x="4295775" y="72475727"/>
          <a:ext cx="657226" cy="1028698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8</xdr:col>
      <xdr:colOff>0</xdr:colOff>
      <xdr:row>360</xdr:row>
      <xdr:rowOff>51911</xdr:rowOff>
    </xdr:from>
    <xdr:ext cx="186209" cy="281094"/>
    <xdr:sp macro="" textlink="">
      <xdr:nvSpPr>
        <xdr:cNvPr id="28" name="TextBox 27"/>
        <xdr:cNvSpPr txBox="1"/>
      </xdr:nvSpPr>
      <xdr:spPr>
        <a:xfrm>
          <a:off x="12292012" y="25281731"/>
          <a:ext cx="193968" cy="3037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8</xdr:col>
      <xdr:colOff>0</xdr:colOff>
      <xdr:row>203</xdr:row>
      <xdr:rowOff>0</xdr:rowOff>
    </xdr:from>
    <xdr:ext cx="186209" cy="256292"/>
    <xdr:sp macro="" textlink="">
      <xdr:nvSpPr>
        <xdr:cNvPr id="29" name="TextBox 28"/>
        <xdr:cNvSpPr txBox="1"/>
      </xdr:nvSpPr>
      <xdr:spPr>
        <a:xfrm>
          <a:off x="5419725" y="30689550"/>
          <a:ext cx="193968" cy="2562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8</xdr:col>
      <xdr:colOff>0</xdr:colOff>
      <xdr:row>567</xdr:row>
      <xdr:rowOff>59531</xdr:rowOff>
    </xdr:from>
    <xdr:ext cx="186209" cy="256292"/>
    <xdr:sp macro="" textlink="">
      <xdr:nvSpPr>
        <xdr:cNvPr id="32" name="TextBox 31"/>
        <xdr:cNvSpPr txBox="1"/>
      </xdr:nvSpPr>
      <xdr:spPr>
        <a:xfrm>
          <a:off x="5248275" y="4317206"/>
          <a:ext cx="193968" cy="2562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7</xdr:col>
      <xdr:colOff>76200</xdr:colOff>
      <xdr:row>422</xdr:row>
      <xdr:rowOff>60960</xdr:rowOff>
    </xdr:from>
    <xdr:to>
      <xdr:col>7</xdr:col>
      <xdr:colOff>701040</xdr:colOff>
      <xdr:row>425</xdr:row>
      <xdr:rowOff>160020</xdr:rowOff>
    </xdr:to>
    <xdr:cxnSp macro="">
      <xdr:nvCxnSpPr>
        <xdr:cNvPr id="36" name="Straight Connector 35"/>
        <xdr:cNvCxnSpPr/>
      </xdr:nvCxnSpPr>
      <xdr:spPr>
        <a:xfrm rot="5400000">
          <a:off x="4667250" y="90277950"/>
          <a:ext cx="693420" cy="6248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91440</xdr:colOff>
      <xdr:row>392</xdr:row>
      <xdr:rowOff>91440</xdr:rowOff>
    </xdr:from>
    <xdr:to>
      <xdr:col>7</xdr:col>
      <xdr:colOff>685800</xdr:colOff>
      <xdr:row>396</xdr:row>
      <xdr:rowOff>167640</xdr:rowOff>
    </xdr:to>
    <xdr:cxnSp macro="">
      <xdr:nvCxnSpPr>
        <xdr:cNvPr id="38" name="Straight Connector 37"/>
        <xdr:cNvCxnSpPr/>
      </xdr:nvCxnSpPr>
      <xdr:spPr>
        <a:xfrm rot="5400000">
          <a:off x="4556760" y="84101940"/>
          <a:ext cx="914400" cy="59436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213360</xdr:colOff>
      <xdr:row>375</xdr:row>
      <xdr:rowOff>83820</xdr:rowOff>
    </xdr:from>
    <xdr:to>
      <xdr:col>7</xdr:col>
      <xdr:colOff>685800</xdr:colOff>
      <xdr:row>378</xdr:row>
      <xdr:rowOff>205740</xdr:rowOff>
    </xdr:to>
    <xdr:cxnSp macro="">
      <xdr:nvCxnSpPr>
        <xdr:cNvPr id="40" name="Straight Connector 39"/>
        <xdr:cNvCxnSpPr/>
      </xdr:nvCxnSpPr>
      <xdr:spPr>
        <a:xfrm rot="5400000">
          <a:off x="4701540" y="80794860"/>
          <a:ext cx="746760" cy="4724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152400</xdr:colOff>
      <xdr:row>460</xdr:row>
      <xdr:rowOff>190500</xdr:rowOff>
    </xdr:from>
    <xdr:to>
      <xdr:col>7</xdr:col>
      <xdr:colOff>502920</xdr:colOff>
      <xdr:row>464</xdr:row>
      <xdr:rowOff>30480</xdr:rowOff>
    </xdr:to>
    <xdr:cxnSp macro="">
      <xdr:nvCxnSpPr>
        <xdr:cNvPr id="34" name="Straight Connector 33"/>
        <xdr:cNvCxnSpPr/>
      </xdr:nvCxnSpPr>
      <xdr:spPr>
        <a:xfrm rot="5400000">
          <a:off x="4724400" y="93680280"/>
          <a:ext cx="655320" cy="35052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8</xdr:col>
      <xdr:colOff>0</xdr:colOff>
      <xdr:row>474</xdr:row>
      <xdr:rowOff>51911</xdr:rowOff>
    </xdr:from>
    <xdr:ext cx="186209" cy="281094"/>
    <xdr:sp macro="" textlink="">
      <xdr:nvSpPr>
        <xdr:cNvPr id="35" name="TextBox 34"/>
        <xdr:cNvSpPr txBox="1"/>
      </xdr:nvSpPr>
      <xdr:spPr>
        <a:xfrm>
          <a:off x="5501640" y="96338231"/>
          <a:ext cx="186209" cy="2810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8</xdr:col>
      <xdr:colOff>0</xdr:colOff>
      <xdr:row>288</xdr:row>
      <xdr:rowOff>59531</xdr:rowOff>
    </xdr:from>
    <xdr:ext cx="186209" cy="264058"/>
    <xdr:sp macro="" textlink="">
      <xdr:nvSpPr>
        <xdr:cNvPr id="37" name="TextBox 36"/>
        <xdr:cNvSpPr txBox="1"/>
      </xdr:nvSpPr>
      <xdr:spPr>
        <a:xfrm>
          <a:off x="5867400" y="57438131"/>
          <a:ext cx="186209" cy="2640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8</xdr:col>
      <xdr:colOff>0</xdr:colOff>
      <xdr:row>494</xdr:row>
      <xdr:rowOff>51911</xdr:rowOff>
    </xdr:from>
    <xdr:ext cx="186209" cy="281094"/>
    <xdr:sp macro="" textlink="">
      <xdr:nvSpPr>
        <xdr:cNvPr id="39" name="TextBox 38"/>
        <xdr:cNvSpPr txBox="1"/>
      </xdr:nvSpPr>
      <xdr:spPr>
        <a:xfrm>
          <a:off x="5867400" y="100674011"/>
          <a:ext cx="186209" cy="2810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8</xdr:col>
      <xdr:colOff>0</xdr:colOff>
      <xdr:row>425</xdr:row>
      <xdr:rowOff>51911</xdr:rowOff>
    </xdr:from>
    <xdr:ext cx="186209" cy="264058"/>
    <xdr:sp macro="" textlink="">
      <xdr:nvSpPr>
        <xdr:cNvPr id="41" name="TextBox 40"/>
        <xdr:cNvSpPr txBox="1"/>
      </xdr:nvSpPr>
      <xdr:spPr>
        <a:xfrm>
          <a:off x="5886450" y="93073061"/>
          <a:ext cx="186209" cy="2640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7</xdr:col>
      <xdr:colOff>152400</xdr:colOff>
      <xdr:row>439</xdr:row>
      <xdr:rowOff>190500</xdr:rowOff>
    </xdr:from>
    <xdr:to>
      <xdr:col>7</xdr:col>
      <xdr:colOff>502920</xdr:colOff>
      <xdr:row>443</xdr:row>
      <xdr:rowOff>30480</xdr:rowOff>
    </xdr:to>
    <xdr:cxnSp macro="">
      <xdr:nvCxnSpPr>
        <xdr:cNvPr id="42" name="Straight Connector 41"/>
        <xdr:cNvCxnSpPr/>
      </xdr:nvCxnSpPr>
      <xdr:spPr>
        <a:xfrm rot="5400000">
          <a:off x="5103495" y="96261555"/>
          <a:ext cx="659130" cy="350520"/>
        </a:xfrm>
        <a:prstGeom prst="line">
          <a:avLst/>
        </a:prstGeom>
        <a:ln>
          <a:solidFill>
            <a:sysClr val="windowText" lastClr="000000"/>
          </a:solidFill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8</xdr:col>
      <xdr:colOff>0</xdr:colOff>
      <xdr:row>453</xdr:row>
      <xdr:rowOff>51911</xdr:rowOff>
    </xdr:from>
    <xdr:ext cx="186209" cy="281094"/>
    <xdr:sp macro="" textlink="">
      <xdr:nvSpPr>
        <xdr:cNvPr id="43" name="TextBox 42"/>
        <xdr:cNvSpPr txBox="1"/>
      </xdr:nvSpPr>
      <xdr:spPr>
        <a:xfrm>
          <a:off x="5886450" y="98921411"/>
          <a:ext cx="186209" cy="2810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7</xdr:col>
      <xdr:colOff>76200</xdr:colOff>
      <xdr:row>422</xdr:row>
      <xdr:rowOff>60960</xdr:rowOff>
    </xdr:from>
    <xdr:to>
      <xdr:col>7</xdr:col>
      <xdr:colOff>701040</xdr:colOff>
      <xdr:row>425</xdr:row>
      <xdr:rowOff>160020</xdr:rowOff>
    </xdr:to>
    <xdr:cxnSp macro="">
      <xdr:nvCxnSpPr>
        <xdr:cNvPr id="44" name="Straight Connector 43"/>
        <xdr:cNvCxnSpPr/>
      </xdr:nvCxnSpPr>
      <xdr:spPr>
        <a:xfrm rot="5400000">
          <a:off x="5144452" y="92519183"/>
          <a:ext cx="699135" cy="6248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0</xdr:colOff>
      <xdr:row>450</xdr:row>
      <xdr:rowOff>51911</xdr:rowOff>
    </xdr:from>
    <xdr:ext cx="186209" cy="264058"/>
    <xdr:sp macro="" textlink="">
      <xdr:nvSpPr>
        <xdr:cNvPr id="45" name="TextBox 44"/>
        <xdr:cNvSpPr txBox="1"/>
      </xdr:nvSpPr>
      <xdr:spPr>
        <a:xfrm>
          <a:off x="5886450" y="93073061"/>
          <a:ext cx="186209" cy="2640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7</xdr:col>
      <xdr:colOff>76200</xdr:colOff>
      <xdr:row>447</xdr:row>
      <xdr:rowOff>60960</xdr:rowOff>
    </xdr:from>
    <xdr:to>
      <xdr:col>7</xdr:col>
      <xdr:colOff>701040</xdr:colOff>
      <xdr:row>450</xdr:row>
      <xdr:rowOff>160020</xdr:rowOff>
    </xdr:to>
    <xdr:cxnSp macro="">
      <xdr:nvCxnSpPr>
        <xdr:cNvPr id="46" name="Straight Connector 45"/>
        <xdr:cNvCxnSpPr/>
      </xdr:nvCxnSpPr>
      <xdr:spPr>
        <a:xfrm rot="5400000">
          <a:off x="5144452" y="92519183"/>
          <a:ext cx="699135" cy="6248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8</xdr:col>
      <xdr:colOff>0</xdr:colOff>
      <xdr:row>450</xdr:row>
      <xdr:rowOff>51911</xdr:rowOff>
    </xdr:from>
    <xdr:ext cx="186209" cy="264058"/>
    <xdr:sp macro="" textlink="">
      <xdr:nvSpPr>
        <xdr:cNvPr id="47" name="TextBox 46"/>
        <xdr:cNvSpPr txBox="1"/>
      </xdr:nvSpPr>
      <xdr:spPr>
        <a:xfrm>
          <a:off x="5886450" y="93073061"/>
          <a:ext cx="186209" cy="2640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7</xdr:col>
      <xdr:colOff>76200</xdr:colOff>
      <xdr:row>447</xdr:row>
      <xdr:rowOff>60960</xdr:rowOff>
    </xdr:from>
    <xdr:to>
      <xdr:col>7</xdr:col>
      <xdr:colOff>701040</xdr:colOff>
      <xdr:row>450</xdr:row>
      <xdr:rowOff>160020</xdr:rowOff>
    </xdr:to>
    <xdr:cxnSp macro="">
      <xdr:nvCxnSpPr>
        <xdr:cNvPr id="48" name="Straight Connector 47"/>
        <xdr:cNvCxnSpPr/>
      </xdr:nvCxnSpPr>
      <xdr:spPr>
        <a:xfrm rot="5400000">
          <a:off x="5144452" y="92519183"/>
          <a:ext cx="699135" cy="6248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40</xdr:row>
      <xdr:rowOff>51911</xdr:rowOff>
    </xdr:from>
    <xdr:ext cx="186209" cy="264058"/>
    <xdr:sp macro="" textlink="">
      <xdr:nvSpPr>
        <xdr:cNvPr id="2" name="TextBox 1"/>
        <xdr:cNvSpPr txBox="1"/>
      </xdr:nvSpPr>
      <xdr:spPr>
        <a:xfrm>
          <a:off x="5402580" y="90828971"/>
          <a:ext cx="186209" cy="2640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0</xdr:colOff>
      <xdr:row>85</xdr:row>
      <xdr:rowOff>51911</xdr:rowOff>
    </xdr:from>
    <xdr:ext cx="186209" cy="264058"/>
    <xdr:sp macro="" textlink="">
      <xdr:nvSpPr>
        <xdr:cNvPr id="5" name="TextBox 4"/>
        <xdr:cNvSpPr txBox="1"/>
      </xdr:nvSpPr>
      <xdr:spPr>
        <a:xfrm>
          <a:off x="4312920" y="8563451"/>
          <a:ext cx="186209" cy="2640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0</xdr:colOff>
      <xdr:row>33</xdr:row>
      <xdr:rowOff>51911</xdr:rowOff>
    </xdr:from>
    <xdr:ext cx="186209" cy="264058"/>
    <xdr:sp macro="" textlink="">
      <xdr:nvSpPr>
        <xdr:cNvPr id="2" name="TextBox 1"/>
        <xdr:cNvSpPr txBox="1"/>
      </xdr:nvSpPr>
      <xdr:spPr>
        <a:xfrm>
          <a:off x="4701540" y="8731091"/>
          <a:ext cx="186209" cy="2640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7</xdr:col>
      <xdr:colOff>0</xdr:colOff>
      <xdr:row>78</xdr:row>
      <xdr:rowOff>51911</xdr:rowOff>
    </xdr:from>
    <xdr:ext cx="186209" cy="264058"/>
    <xdr:sp macro="" textlink="">
      <xdr:nvSpPr>
        <xdr:cNvPr id="3" name="TextBox 2"/>
        <xdr:cNvSpPr txBox="1"/>
      </xdr:nvSpPr>
      <xdr:spPr>
        <a:xfrm>
          <a:off x="4701540" y="16274891"/>
          <a:ext cx="186209" cy="26405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aidur/Documents/8.%20August%202017/Salary%20Sheet%20and%20Statement%20August%202017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alary-1"/>
      <sheetName val="voucher"/>
      <sheetName val="CPF, PF, GF, KF"/>
      <sheetName val="Pension_Fund"/>
      <sheetName val="Provident_Fund both contr"/>
      <sheetName val="GRATUITY, PF LOAN"/>
      <sheetName val="Pensioner_Salary_1"/>
      <sheetName val="Pension voucher"/>
      <sheetName val="Pensioner_Bonus_"/>
    </sheetNames>
    <sheetDataSet>
      <sheetData sheetId="0">
        <row r="54">
          <cell r="D54" t="str">
            <v>Bank Contribution To Employees Gratuity Fund A/C (671A)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AW59"/>
  <sheetViews>
    <sheetView topLeftCell="A4" zoomScale="115" zoomScaleNormal="115" workbookViewId="0">
      <selection activeCell="P3" sqref="P3"/>
    </sheetView>
  </sheetViews>
  <sheetFormatPr defaultColWidth="9.140625" defaultRowHeight="15"/>
  <cols>
    <col min="1" max="1" width="2.140625" style="414" customWidth="1"/>
    <col min="2" max="2" width="16.42578125" style="414" customWidth="1"/>
    <col min="3" max="3" width="3.85546875" style="414" customWidth="1"/>
    <col min="4" max="4" width="6.5703125" style="414" customWidth="1"/>
    <col min="5" max="5" width="3.28515625" style="414" customWidth="1"/>
    <col min="6" max="6" width="6.28515625" style="414" customWidth="1"/>
    <col min="7" max="7" width="5.140625" style="414" customWidth="1"/>
    <col min="8" max="8" width="4.5703125" style="414" customWidth="1"/>
    <col min="9" max="9" width="5.28515625" style="414" customWidth="1"/>
    <col min="10" max="10" width="3.28515625" style="414" customWidth="1"/>
    <col min="11" max="11" width="3.5703125" style="414" customWidth="1"/>
    <col min="12" max="12" width="3" style="414" customWidth="1"/>
    <col min="13" max="13" width="5.140625" style="414" customWidth="1"/>
    <col min="14" max="14" width="7.140625" style="414" customWidth="1"/>
    <col min="15" max="15" width="6.7109375" style="414" customWidth="1"/>
    <col min="16" max="16" width="6.28515625" style="414" customWidth="1"/>
    <col min="17" max="17" width="5.85546875" style="414" customWidth="1"/>
    <col min="18" max="18" width="6.5703125" style="414" customWidth="1"/>
    <col min="19" max="19" width="3.5703125" style="414" customWidth="1"/>
    <col min="20" max="20" width="6.28515625" style="414" customWidth="1"/>
    <col min="21" max="21" width="2.85546875" style="414" customWidth="1"/>
    <col min="22" max="22" width="5.7109375" style="414" customWidth="1"/>
    <col min="23" max="23" width="6.140625" style="414" customWidth="1"/>
    <col min="24" max="24" width="6" style="414" customWidth="1"/>
    <col min="25" max="26" width="5.42578125" style="414" customWidth="1"/>
    <col min="27" max="27" width="3.85546875" style="414" customWidth="1"/>
    <col min="28" max="28" width="3.42578125" style="414" customWidth="1"/>
    <col min="29" max="29" width="3" style="414" customWidth="1"/>
    <col min="30" max="30" width="5.7109375" style="414" customWidth="1"/>
    <col min="31" max="31" width="5.28515625" style="566" customWidth="1"/>
    <col min="32" max="32" width="5" style="414" customWidth="1"/>
    <col min="33" max="33" width="5.85546875" style="414" hidden="1" customWidth="1"/>
    <col min="34" max="34" width="3.7109375" style="414" customWidth="1"/>
    <col min="35" max="35" width="5.7109375" style="414" customWidth="1"/>
    <col min="36" max="36" width="7.42578125" style="414" customWidth="1"/>
    <col min="37" max="37" width="7.85546875" style="578" customWidth="1"/>
    <col min="38" max="38" width="7.5703125" style="414" customWidth="1"/>
    <col min="39" max="39" width="12.5703125" style="414" customWidth="1"/>
    <col min="40" max="40" width="7.85546875" style="414" customWidth="1"/>
    <col min="41" max="41" width="11.28515625" style="414" bestFit="1" customWidth="1"/>
    <col min="42" max="42" width="5.7109375" style="414" customWidth="1"/>
    <col min="43" max="43" width="2.7109375" style="414" customWidth="1"/>
    <col min="44" max="44" width="11.42578125" style="414" customWidth="1"/>
    <col min="45" max="45" width="10.85546875" style="414" customWidth="1"/>
    <col min="46" max="46" width="5.140625" style="414" customWidth="1"/>
    <col min="47" max="256" width="9.140625" style="414"/>
    <col min="257" max="257" width="2.140625" style="414" customWidth="1"/>
    <col min="258" max="258" width="16.42578125" style="414" customWidth="1"/>
    <col min="259" max="259" width="3.85546875" style="414" customWidth="1"/>
    <col min="260" max="260" width="6.5703125" style="414" customWidth="1"/>
    <col min="261" max="261" width="3.28515625" style="414" customWidth="1"/>
    <col min="262" max="262" width="6.28515625" style="414" customWidth="1"/>
    <col min="263" max="263" width="5.140625" style="414" customWidth="1"/>
    <col min="264" max="264" width="4.5703125" style="414" customWidth="1"/>
    <col min="265" max="265" width="5.28515625" style="414" customWidth="1"/>
    <col min="266" max="266" width="3.28515625" style="414" customWidth="1"/>
    <col min="267" max="267" width="3.5703125" style="414" customWidth="1"/>
    <col min="268" max="268" width="3" style="414" customWidth="1"/>
    <col min="269" max="269" width="5.140625" style="414" customWidth="1"/>
    <col min="270" max="270" width="7.140625" style="414" customWidth="1"/>
    <col min="271" max="271" width="6.7109375" style="414" customWidth="1"/>
    <col min="272" max="272" width="6.28515625" style="414" customWidth="1"/>
    <col min="273" max="273" width="5.85546875" style="414" customWidth="1"/>
    <col min="274" max="274" width="6.5703125" style="414" customWidth="1"/>
    <col min="275" max="275" width="3.5703125" style="414" customWidth="1"/>
    <col min="276" max="276" width="6.28515625" style="414" customWidth="1"/>
    <col min="277" max="277" width="2.85546875" style="414" customWidth="1"/>
    <col min="278" max="278" width="5.7109375" style="414" customWidth="1"/>
    <col min="279" max="279" width="6.140625" style="414" customWidth="1"/>
    <col min="280" max="280" width="6" style="414" customWidth="1"/>
    <col min="281" max="282" width="5.42578125" style="414" customWidth="1"/>
    <col min="283" max="283" width="3.85546875" style="414" customWidth="1"/>
    <col min="284" max="284" width="3.42578125" style="414" customWidth="1"/>
    <col min="285" max="285" width="3" style="414" customWidth="1"/>
    <col min="286" max="286" width="5.7109375" style="414" customWidth="1"/>
    <col min="287" max="287" width="5.28515625" style="414" customWidth="1"/>
    <col min="288" max="288" width="5" style="414" customWidth="1"/>
    <col min="289" max="289" width="0" style="414" hidden="1" customWidth="1"/>
    <col min="290" max="290" width="3.7109375" style="414" customWidth="1"/>
    <col min="291" max="291" width="5.7109375" style="414" customWidth="1"/>
    <col min="292" max="292" width="7.42578125" style="414" customWidth="1"/>
    <col min="293" max="293" width="7.85546875" style="414" customWidth="1"/>
    <col min="294" max="294" width="7.5703125" style="414" customWidth="1"/>
    <col min="295" max="295" width="12.5703125" style="414" customWidth="1"/>
    <col min="296" max="296" width="7.85546875" style="414" customWidth="1"/>
    <col min="297" max="297" width="11.28515625" style="414" bestFit="1" customWidth="1"/>
    <col min="298" max="298" width="5.7109375" style="414" customWidth="1"/>
    <col min="299" max="299" width="2.7109375" style="414" customWidth="1"/>
    <col min="300" max="300" width="11.42578125" style="414" customWidth="1"/>
    <col min="301" max="301" width="10.85546875" style="414" customWidth="1"/>
    <col min="302" max="302" width="5.140625" style="414" customWidth="1"/>
    <col min="303" max="512" width="9.140625" style="414"/>
    <col min="513" max="513" width="2.140625" style="414" customWidth="1"/>
    <col min="514" max="514" width="16.42578125" style="414" customWidth="1"/>
    <col min="515" max="515" width="3.85546875" style="414" customWidth="1"/>
    <col min="516" max="516" width="6.5703125" style="414" customWidth="1"/>
    <col min="517" max="517" width="3.28515625" style="414" customWidth="1"/>
    <col min="518" max="518" width="6.28515625" style="414" customWidth="1"/>
    <col min="519" max="519" width="5.140625" style="414" customWidth="1"/>
    <col min="520" max="520" width="4.5703125" style="414" customWidth="1"/>
    <col min="521" max="521" width="5.28515625" style="414" customWidth="1"/>
    <col min="522" max="522" width="3.28515625" style="414" customWidth="1"/>
    <col min="523" max="523" width="3.5703125" style="414" customWidth="1"/>
    <col min="524" max="524" width="3" style="414" customWidth="1"/>
    <col min="525" max="525" width="5.140625" style="414" customWidth="1"/>
    <col min="526" max="526" width="7.140625" style="414" customWidth="1"/>
    <col min="527" max="527" width="6.7109375" style="414" customWidth="1"/>
    <col min="528" max="528" width="6.28515625" style="414" customWidth="1"/>
    <col min="529" max="529" width="5.85546875" style="414" customWidth="1"/>
    <col min="530" max="530" width="6.5703125" style="414" customWidth="1"/>
    <col min="531" max="531" width="3.5703125" style="414" customWidth="1"/>
    <col min="532" max="532" width="6.28515625" style="414" customWidth="1"/>
    <col min="533" max="533" width="2.85546875" style="414" customWidth="1"/>
    <col min="534" max="534" width="5.7109375" style="414" customWidth="1"/>
    <col min="535" max="535" width="6.140625" style="414" customWidth="1"/>
    <col min="536" max="536" width="6" style="414" customWidth="1"/>
    <col min="537" max="538" width="5.42578125" style="414" customWidth="1"/>
    <col min="539" max="539" width="3.85546875" style="414" customWidth="1"/>
    <col min="540" max="540" width="3.42578125" style="414" customWidth="1"/>
    <col min="541" max="541" width="3" style="414" customWidth="1"/>
    <col min="542" max="542" width="5.7109375" style="414" customWidth="1"/>
    <col min="543" max="543" width="5.28515625" style="414" customWidth="1"/>
    <col min="544" max="544" width="5" style="414" customWidth="1"/>
    <col min="545" max="545" width="0" style="414" hidden="1" customWidth="1"/>
    <col min="546" max="546" width="3.7109375" style="414" customWidth="1"/>
    <col min="547" max="547" width="5.7109375" style="414" customWidth="1"/>
    <col min="548" max="548" width="7.42578125" style="414" customWidth="1"/>
    <col min="549" max="549" width="7.85546875" style="414" customWidth="1"/>
    <col min="550" max="550" width="7.5703125" style="414" customWidth="1"/>
    <col min="551" max="551" width="12.5703125" style="414" customWidth="1"/>
    <col min="552" max="552" width="7.85546875" style="414" customWidth="1"/>
    <col min="553" max="553" width="11.28515625" style="414" bestFit="1" customWidth="1"/>
    <col min="554" max="554" width="5.7109375" style="414" customWidth="1"/>
    <col min="555" max="555" width="2.7109375" style="414" customWidth="1"/>
    <col min="556" max="556" width="11.42578125" style="414" customWidth="1"/>
    <col min="557" max="557" width="10.85546875" style="414" customWidth="1"/>
    <col min="558" max="558" width="5.140625" style="414" customWidth="1"/>
    <col min="559" max="768" width="9.140625" style="414"/>
    <col min="769" max="769" width="2.140625" style="414" customWidth="1"/>
    <col min="770" max="770" width="16.42578125" style="414" customWidth="1"/>
    <col min="771" max="771" width="3.85546875" style="414" customWidth="1"/>
    <col min="772" max="772" width="6.5703125" style="414" customWidth="1"/>
    <col min="773" max="773" width="3.28515625" style="414" customWidth="1"/>
    <col min="774" max="774" width="6.28515625" style="414" customWidth="1"/>
    <col min="775" max="775" width="5.140625" style="414" customWidth="1"/>
    <col min="776" max="776" width="4.5703125" style="414" customWidth="1"/>
    <col min="777" max="777" width="5.28515625" style="414" customWidth="1"/>
    <col min="778" max="778" width="3.28515625" style="414" customWidth="1"/>
    <col min="779" max="779" width="3.5703125" style="414" customWidth="1"/>
    <col min="780" max="780" width="3" style="414" customWidth="1"/>
    <col min="781" max="781" width="5.140625" style="414" customWidth="1"/>
    <col min="782" max="782" width="7.140625" style="414" customWidth="1"/>
    <col min="783" max="783" width="6.7109375" style="414" customWidth="1"/>
    <col min="784" max="784" width="6.28515625" style="414" customWidth="1"/>
    <col min="785" max="785" width="5.85546875" style="414" customWidth="1"/>
    <col min="786" max="786" width="6.5703125" style="414" customWidth="1"/>
    <col min="787" max="787" width="3.5703125" style="414" customWidth="1"/>
    <col min="788" max="788" width="6.28515625" style="414" customWidth="1"/>
    <col min="789" max="789" width="2.85546875" style="414" customWidth="1"/>
    <col min="790" max="790" width="5.7109375" style="414" customWidth="1"/>
    <col min="791" max="791" width="6.140625" style="414" customWidth="1"/>
    <col min="792" max="792" width="6" style="414" customWidth="1"/>
    <col min="793" max="794" width="5.42578125" style="414" customWidth="1"/>
    <col min="795" max="795" width="3.85546875" style="414" customWidth="1"/>
    <col min="796" max="796" width="3.42578125" style="414" customWidth="1"/>
    <col min="797" max="797" width="3" style="414" customWidth="1"/>
    <col min="798" max="798" width="5.7109375" style="414" customWidth="1"/>
    <col min="799" max="799" width="5.28515625" style="414" customWidth="1"/>
    <col min="800" max="800" width="5" style="414" customWidth="1"/>
    <col min="801" max="801" width="0" style="414" hidden="1" customWidth="1"/>
    <col min="802" max="802" width="3.7109375" style="414" customWidth="1"/>
    <col min="803" max="803" width="5.7109375" style="414" customWidth="1"/>
    <col min="804" max="804" width="7.42578125" style="414" customWidth="1"/>
    <col min="805" max="805" width="7.85546875" style="414" customWidth="1"/>
    <col min="806" max="806" width="7.5703125" style="414" customWidth="1"/>
    <col min="807" max="807" width="12.5703125" style="414" customWidth="1"/>
    <col min="808" max="808" width="7.85546875" style="414" customWidth="1"/>
    <col min="809" max="809" width="11.28515625" style="414" bestFit="1" customWidth="1"/>
    <col min="810" max="810" width="5.7109375" style="414" customWidth="1"/>
    <col min="811" max="811" width="2.7109375" style="414" customWidth="1"/>
    <col min="812" max="812" width="11.42578125" style="414" customWidth="1"/>
    <col min="813" max="813" width="10.85546875" style="414" customWidth="1"/>
    <col min="814" max="814" width="5.140625" style="414" customWidth="1"/>
    <col min="815" max="1024" width="9.140625" style="414"/>
    <col min="1025" max="1025" width="2.140625" style="414" customWidth="1"/>
    <col min="1026" max="1026" width="16.42578125" style="414" customWidth="1"/>
    <col min="1027" max="1027" width="3.85546875" style="414" customWidth="1"/>
    <col min="1028" max="1028" width="6.5703125" style="414" customWidth="1"/>
    <col min="1029" max="1029" width="3.28515625" style="414" customWidth="1"/>
    <col min="1030" max="1030" width="6.28515625" style="414" customWidth="1"/>
    <col min="1031" max="1031" width="5.140625" style="414" customWidth="1"/>
    <col min="1032" max="1032" width="4.5703125" style="414" customWidth="1"/>
    <col min="1033" max="1033" width="5.28515625" style="414" customWidth="1"/>
    <col min="1034" max="1034" width="3.28515625" style="414" customWidth="1"/>
    <col min="1035" max="1035" width="3.5703125" style="414" customWidth="1"/>
    <col min="1036" max="1036" width="3" style="414" customWidth="1"/>
    <col min="1037" max="1037" width="5.140625" style="414" customWidth="1"/>
    <col min="1038" max="1038" width="7.140625" style="414" customWidth="1"/>
    <col min="1039" max="1039" width="6.7109375" style="414" customWidth="1"/>
    <col min="1040" max="1040" width="6.28515625" style="414" customWidth="1"/>
    <col min="1041" max="1041" width="5.85546875" style="414" customWidth="1"/>
    <col min="1042" max="1042" width="6.5703125" style="414" customWidth="1"/>
    <col min="1043" max="1043" width="3.5703125" style="414" customWidth="1"/>
    <col min="1044" max="1044" width="6.28515625" style="414" customWidth="1"/>
    <col min="1045" max="1045" width="2.85546875" style="414" customWidth="1"/>
    <col min="1046" max="1046" width="5.7109375" style="414" customWidth="1"/>
    <col min="1047" max="1047" width="6.140625" style="414" customWidth="1"/>
    <col min="1048" max="1048" width="6" style="414" customWidth="1"/>
    <col min="1049" max="1050" width="5.42578125" style="414" customWidth="1"/>
    <col min="1051" max="1051" width="3.85546875" style="414" customWidth="1"/>
    <col min="1052" max="1052" width="3.42578125" style="414" customWidth="1"/>
    <col min="1053" max="1053" width="3" style="414" customWidth="1"/>
    <col min="1054" max="1054" width="5.7109375" style="414" customWidth="1"/>
    <col min="1055" max="1055" width="5.28515625" style="414" customWidth="1"/>
    <col min="1056" max="1056" width="5" style="414" customWidth="1"/>
    <col min="1057" max="1057" width="0" style="414" hidden="1" customWidth="1"/>
    <col min="1058" max="1058" width="3.7109375" style="414" customWidth="1"/>
    <col min="1059" max="1059" width="5.7109375" style="414" customWidth="1"/>
    <col min="1060" max="1060" width="7.42578125" style="414" customWidth="1"/>
    <col min="1061" max="1061" width="7.85546875" style="414" customWidth="1"/>
    <col min="1062" max="1062" width="7.5703125" style="414" customWidth="1"/>
    <col min="1063" max="1063" width="12.5703125" style="414" customWidth="1"/>
    <col min="1064" max="1064" width="7.85546875" style="414" customWidth="1"/>
    <col min="1065" max="1065" width="11.28515625" style="414" bestFit="1" customWidth="1"/>
    <col min="1066" max="1066" width="5.7109375" style="414" customWidth="1"/>
    <col min="1067" max="1067" width="2.7109375" style="414" customWidth="1"/>
    <col min="1068" max="1068" width="11.42578125" style="414" customWidth="1"/>
    <col min="1069" max="1069" width="10.85546875" style="414" customWidth="1"/>
    <col min="1070" max="1070" width="5.140625" style="414" customWidth="1"/>
    <col min="1071" max="1280" width="9.140625" style="414"/>
    <col min="1281" max="1281" width="2.140625" style="414" customWidth="1"/>
    <col min="1282" max="1282" width="16.42578125" style="414" customWidth="1"/>
    <col min="1283" max="1283" width="3.85546875" style="414" customWidth="1"/>
    <col min="1284" max="1284" width="6.5703125" style="414" customWidth="1"/>
    <col min="1285" max="1285" width="3.28515625" style="414" customWidth="1"/>
    <col min="1286" max="1286" width="6.28515625" style="414" customWidth="1"/>
    <col min="1287" max="1287" width="5.140625" style="414" customWidth="1"/>
    <col min="1288" max="1288" width="4.5703125" style="414" customWidth="1"/>
    <col min="1289" max="1289" width="5.28515625" style="414" customWidth="1"/>
    <col min="1290" max="1290" width="3.28515625" style="414" customWidth="1"/>
    <col min="1291" max="1291" width="3.5703125" style="414" customWidth="1"/>
    <col min="1292" max="1292" width="3" style="414" customWidth="1"/>
    <col min="1293" max="1293" width="5.140625" style="414" customWidth="1"/>
    <col min="1294" max="1294" width="7.140625" style="414" customWidth="1"/>
    <col min="1295" max="1295" width="6.7109375" style="414" customWidth="1"/>
    <col min="1296" max="1296" width="6.28515625" style="414" customWidth="1"/>
    <col min="1297" max="1297" width="5.85546875" style="414" customWidth="1"/>
    <col min="1298" max="1298" width="6.5703125" style="414" customWidth="1"/>
    <col min="1299" max="1299" width="3.5703125" style="414" customWidth="1"/>
    <col min="1300" max="1300" width="6.28515625" style="414" customWidth="1"/>
    <col min="1301" max="1301" width="2.85546875" style="414" customWidth="1"/>
    <col min="1302" max="1302" width="5.7109375" style="414" customWidth="1"/>
    <col min="1303" max="1303" width="6.140625" style="414" customWidth="1"/>
    <col min="1304" max="1304" width="6" style="414" customWidth="1"/>
    <col min="1305" max="1306" width="5.42578125" style="414" customWidth="1"/>
    <col min="1307" max="1307" width="3.85546875" style="414" customWidth="1"/>
    <col min="1308" max="1308" width="3.42578125" style="414" customWidth="1"/>
    <col min="1309" max="1309" width="3" style="414" customWidth="1"/>
    <col min="1310" max="1310" width="5.7109375" style="414" customWidth="1"/>
    <col min="1311" max="1311" width="5.28515625" style="414" customWidth="1"/>
    <col min="1312" max="1312" width="5" style="414" customWidth="1"/>
    <col min="1313" max="1313" width="0" style="414" hidden="1" customWidth="1"/>
    <col min="1314" max="1314" width="3.7109375" style="414" customWidth="1"/>
    <col min="1315" max="1315" width="5.7109375" style="414" customWidth="1"/>
    <col min="1316" max="1316" width="7.42578125" style="414" customWidth="1"/>
    <col min="1317" max="1317" width="7.85546875" style="414" customWidth="1"/>
    <col min="1318" max="1318" width="7.5703125" style="414" customWidth="1"/>
    <col min="1319" max="1319" width="12.5703125" style="414" customWidth="1"/>
    <col min="1320" max="1320" width="7.85546875" style="414" customWidth="1"/>
    <col min="1321" max="1321" width="11.28515625" style="414" bestFit="1" customWidth="1"/>
    <col min="1322" max="1322" width="5.7109375" style="414" customWidth="1"/>
    <col min="1323" max="1323" width="2.7109375" style="414" customWidth="1"/>
    <col min="1324" max="1324" width="11.42578125" style="414" customWidth="1"/>
    <col min="1325" max="1325" width="10.85546875" style="414" customWidth="1"/>
    <col min="1326" max="1326" width="5.140625" style="414" customWidth="1"/>
    <col min="1327" max="1536" width="9.140625" style="414"/>
    <col min="1537" max="1537" width="2.140625" style="414" customWidth="1"/>
    <col min="1538" max="1538" width="16.42578125" style="414" customWidth="1"/>
    <col min="1539" max="1539" width="3.85546875" style="414" customWidth="1"/>
    <col min="1540" max="1540" width="6.5703125" style="414" customWidth="1"/>
    <col min="1541" max="1541" width="3.28515625" style="414" customWidth="1"/>
    <col min="1542" max="1542" width="6.28515625" style="414" customWidth="1"/>
    <col min="1543" max="1543" width="5.140625" style="414" customWidth="1"/>
    <col min="1544" max="1544" width="4.5703125" style="414" customWidth="1"/>
    <col min="1545" max="1545" width="5.28515625" style="414" customWidth="1"/>
    <col min="1546" max="1546" width="3.28515625" style="414" customWidth="1"/>
    <col min="1547" max="1547" width="3.5703125" style="414" customWidth="1"/>
    <col min="1548" max="1548" width="3" style="414" customWidth="1"/>
    <col min="1549" max="1549" width="5.140625" style="414" customWidth="1"/>
    <col min="1550" max="1550" width="7.140625" style="414" customWidth="1"/>
    <col min="1551" max="1551" width="6.7109375" style="414" customWidth="1"/>
    <col min="1552" max="1552" width="6.28515625" style="414" customWidth="1"/>
    <col min="1553" max="1553" width="5.85546875" style="414" customWidth="1"/>
    <col min="1554" max="1554" width="6.5703125" style="414" customWidth="1"/>
    <col min="1555" max="1555" width="3.5703125" style="414" customWidth="1"/>
    <col min="1556" max="1556" width="6.28515625" style="414" customWidth="1"/>
    <col min="1557" max="1557" width="2.85546875" style="414" customWidth="1"/>
    <col min="1558" max="1558" width="5.7109375" style="414" customWidth="1"/>
    <col min="1559" max="1559" width="6.140625" style="414" customWidth="1"/>
    <col min="1560" max="1560" width="6" style="414" customWidth="1"/>
    <col min="1561" max="1562" width="5.42578125" style="414" customWidth="1"/>
    <col min="1563" max="1563" width="3.85546875" style="414" customWidth="1"/>
    <col min="1564" max="1564" width="3.42578125" style="414" customWidth="1"/>
    <col min="1565" max="1565" width="3" style="414" customWidth="1"/>
    <col min="1566" max="1566" width="5.7109375" style="414" customWidth="1"/>
    <col min="1567" max="1567" width="5.28515625" style="414" customWidth="1"/>
    <col min="1568" max="1568" width="5" style="414" customWidth="1"/>
    <col min="1569" max="1569" width="0" style="414" hidden="1" customWidth="1"/>
    <col min="1570" max="1570" width="3.7109375" style="414" customWidth="1"/>
    <col min="1571" max="1571" width="5.7109375" style="414" customWidth="1"/>
    <col min="1572" max="1572" width="7.42578125" style="414" customWidth="1"/>
    <col min="1573" max="1573" width="7.85546875" style="414" customWidth="1"/>
    <col min="1574" max="1574" width="7.5703125" style="414" customWidth="1"/>
    <col min="1575" max="1575" width="12.5703125" style="414" customWidth="1"/>
    <col min="1576" max="1576" width="7.85546875" style="414" customWidth="1"/>
    <col min="1577" max="1577" width="11.28515625" style="414" bestFit="1" customWidth="1"/>
    <col min="1578" max="1578" width="5.7109375" style="414" customWidth="1"/>
    <col min="1579" max="1579" width="2.7109375" style="414" customWidth="1"/>
    <col min="1580" max="1580" width="11.42578125" style="414" customWidth="1"/>
    <col min="1581" max="1581" width="10.85546875" style="414" customWidth="1"/>
    <col min="1582" max="1582" width="5.140625" style="414" customWidth="1"/>
    <col min="1583" max="1792" width="9.140625" style="414"/>
    <col min="1793" max="1793" width="2.140625" style="414" customWidth="1"/>
    <col min="1794" max="1794" width="16.42578125" style="414" customWidth="1"/>
    <col min="1795" max="1795" width="3.85546875" style="414" customWidth="1"/>
    <col min="1796" max="1796" width="6.5703125" style="414" customWidth="1"/>
    <col min="1797" max="1797" width="3.28515625" style="414" customWidth="1"/>
    <col min="1798" max="1798" width="6.28515625" style="414" customWidth="1"/>
    <col min="1799" max="1799" width="5.140625" style="414" customWidth="1"/>
    <col min="1800" max="1800" width="4.5703125" style="414" customWidth="1"/>
    <col min="1801" max="1801" width="5.28515625" style="414" customWidth="1"/>
    <col min="1802" max="1802" width="3.28515625" style="414" customWidth="1"/>
    <col min="1803" max="1803" width="3.5703125" style="414" customWidth="1"/>
    <col min="1804" max="1804" width="3" style="414" customWidth="1"/>
    <col min="1805" max="1805" width="5.140625" style="414" customWidth="1"/>
    <col min="1806" max="1806" width="7.140625" style="414" customWidth="1"/>
    <col min="1807" max="1807" width="6.7109375" style="414" customWidth="1"/>
    <col min="1808" max="1808" width="6.28515625" style="414" customWidth="1"/>
    <col min="1809" max="1809" width="5.85546875" style="414" customWidth="1"/>
    <col min="1810" max="1810" width="6.5703125" style="414" customWidth="1"/>
    <col min="1811" max="1811" width="3.5703125" style="414" customWidth="1"/>
    <col min="1812" max="1812" width="6.28515625" style="414" customWidth="1"/>
    <col min="1813" max="1813" width="2.85546875" style="414" customWidth="1"/>
    <col min="1814" max="1814" width="5.7109375" style="414" customWidth="1"/>
    <col min="1815" max="1815" width="6.140625" style="414" customWidth="1"/>
    <col min="1816" max="1816" width="6" style="414" customWidth="1"/>
    <col min="1817" max="1818" width="5.42578125" style="414" customWidth="1"/>
    <col min="1819" max="1819" width="3.85546875" style="414" customWidth="1"/>
    <col min="1820" max="1820" width="3.42578125" style="414" customWidth="1"/>
    <col min="1821" max="1821" width="3" style="414" customWidth="1"/>
    <col min="1822" max="1822" width="5.7109375" style="414" customWidth="1"/>
    <col min="1823" max="1823" width="5.28515625" style="414" customWidth="1"/>
    <col min="1824" max="1824" width="5" style="414" customWidth="1"/>
    <col min="1825" max="1825" width="0" style="414" hidden="1" customWidth="1"/>
    <col min="1826" max="1826" width="3.7109375" style="414" customWidth="1"/>
    <col min="1827" max="1827" width="5.7109375" style="414" customWidth="1"/>
    <col min="1828" max="1828" width="7.42578125" style="414" customWidth="1"/>
    <col min="1829" max="1829" width="7.85546875" style="414" customWidth="1"/>
    <col min="1830" max="1830" width="7.5703125" style="414" customWidth="1"/>
    <col min="1831" max="1831" width="12.5703125" style="414" customWidth="1"/>
    <col min="1832" max="1832" width="7.85546875" style="414" customWidth="1"/>
    <col min="1833" max="1833" width="11.28515625" style="414" bestFit="1" customWidth="1"/>
    <col min="1834" max="1834" width="5.7109375" style="414" customWidth="1"/>
    <col min="1835" max="1835" width="2.7109375" style="414" customWidth="1"/>
    <col min="1836" max="1836" width="11.42578125" style="414" customWidth="1"/>
    <col min="1837" max="1837" width="10.85546875" style="414" customWidth="1"/>
    <col min="1838" max="1838" width="5.140625" style="414" customWidth="1"/>
    <col min="1839" max="2048" width="9.140625" style="414"/>
    <col min="2049" max="2049" width="2.140625" style="414" customWidth="1"/>
    <col min="2050" max="2050" width="16.42578125" style="414" customWidth="1"/>
    <col min="2051" max="2051" width="3.85546875" style="414" customWidth="1"/>
    <col min="2052" max="2052" width="6.5703125" style="414" customWidth="1"/>
    <col min="2053" max="2053" width="3.28515625" style="414" customWidth="1"/>
    <col min="2054" max="2054" width="6.28515625" style="414" customWidth="1"/>
    <col min="2055" max="2055" width="5.140625" style="414" customWidth="1"/>
    <col min="2056" max="2056" width="4.5703125" style="414" customWidth="1"/>
    <col min="2057" max="2057" width="5.28515625" style="414" customWidth="1"/>
    <col min="2058" max="2058" width="3.28515625" style="414" customWidth="1"/>
    <col min="2059" max="2059" width="3.5703125" style="414" customWidth="1"/>
    <col min="2060" max="2060" width="3" style="414" customWidth="1"/>
    <col min="2061" max="2061" width="5.140625" style="414" customWidth="1"/>
    <col min="2062" max="2062" width="7.140625" style="414" customWidth="1"/>
    <col min="2063" max="2063" width="6.7109375" style="414" customWidth="1"/>
    <col min="2064" max="2064" width="6.28515625" style="414" customWidth="1"/>
    <col min="2065" max="2065" width="5.85546875" style="414" customWidth="1"/>
    <col min="2066" max="2066" width="6.5703125" style="414" customWidth="1"/>
    <col min="2067" max="2067" width="3.5703125" style="414" customWidth="1"/>
    <col min="2068" max="2068" width="6.28515625" style="414" customWidth="1"/>
    <col min="2069" max="2069" width="2.85546875" style="414" customWidth="1"/>
    <col min="2070" max="2070" width="5.7109375" style="414" customWidth="1"/>
    <col min="2071" max="2071" width="6.140625" style="414" customWidth="1"/>
    <col min="2072" max="2072" width="6" style="414" customWidth="1"/>
    <col min="2073" max="2074" width="5.42578125" style="414" customWidth="1"/>
    <col min="2075" max="2075" width="3.85546875" style="414" customWidth="1"/>
    <col min="2076" max="2076" width="3.42578125" style="414" customWidth="1"/>
    <col min="2077" max="2077" width="3" style="414" customWidth="1"/>
    <col min="2078" max="2078" width="5.7109375" style="414" customWidth="1"/>
    <col min="2079" max="2079" width="5.28515625" style="414" customWidth="1"/>
    <col min="2080" max="2080" width="5" style="414" customWidth="1"/>
    <col min="2081" max="2081" width="0" style="414" hidden="1" customWidth="1"/>
    <col min="2082" max="2082" width="3.7109375" style="414" customWidth="1"/>
    <col min="2083" max="2083" width="5.7109375" style="414" customWidth="1"/>
    <col min="2084" max="2084" width="7.42578125" style="414" customWidth="1"/>
    <col min="2085" max="2085" width="7.85546875" style="414" customWidth="1"/>
    <col min="2086" max="2086" width="7.5703125" style="414" customWidth="1"/>
    <col min="2087" max="2087" width="12.5703125" style="414" customWidth="1"/>
    <col min="2088" max="2088" width="7.85546875" style="414" customWidth="1"/>
    <col min="2089" max="2089" width="11.28515625" style="414" bestFit="1" customWidth="1"/>
    <col min="2090" max="2090" width="5.7109375" style="414" customWidth="1"/>
    <col min="2091" max="2091" width="2.7109375" style="414" customWidth="1"/>
    <col min="2092" max="2092" width="11.42578125" style="414" customWidth="1"/>
    <col min="2093" max="2093" width="10.85546875" style="414" customWidth="1"/>
    <col min="2094" max="2094" width="5.140625" style="414" customWidth="1"/>
    <col min="2095" max="2304" width="9.140625" style="414"/>
    <col min="2305" max="2305" width="2.140625" style="414" customWidth="1"/>
    <col min="2306" max="2306" width="16.42578125" style="414" customWidth="1"/>
    <col min="2307" max="2307" width="3.85546875" style="414" customWidth="1"/>
    <col min="2308" max="2308" width="6.5703125" style="414" customWidth="1"/>
    <col min="2309" max="2309" width="3.28515625" style="414" customWidth="1"/>
    <col min="2310" max="2310" width="6.28515625" style="414" customWidth="1"/>
    <col min="2311" max="2311" width="5.140625" style="414" customWidth="1"/>
    <col min="2312" max="2312" width="4.5703125" style="414" customWidth="1"/>
    <col min="2313" max="2313" width="5.28515625" style="414" customWidth="1"/>
    <col min="2314" max="2314" width="3.28515625" style="414" customWidth="1"/>
    <col min="2315" max="2315" width="3.5703125" style="414" customWidth="1"/>
    <col min="2316" max="2316" width="3" style="414" customWidth="1"/>
    <col min="2317" max="2317" width="5.140625" style="414" customWidth="1"/>
    <col min="2318" max="2318" width="7.140625" style="414" customWidth="1"/>
    <col min="2319" max="2319" width="6.7109375" style="414" customWidth="1"/>
    <col min="2320" max="2320" width="6.28515625" style="414" customWidth="1"/>
    <col min="2321" max="2321" width="5.85546875" style="414" customWidth="1"/>
    <col min="2322" max="2322" width="6.5703125" style="414" customWidth="1"/>
    <col min="2323" max="2323" width="3.5703125" style="414" customWidth="1"/>
    <col min="2324" max="2324" width="6.28515625" style="414" customWidth="1"/>
    <col min="2325" max="2325" width="2.85546875" style="414" customWidth="1"/>
    <col min="2326" max="2326" width="5.7109375" style="414" customWidth="1"/>
    <col min="2327" max="2327" width="6.140625" style="414" customWidth="1"/>
    <col min="2328" max="2328" width="6" style="414" customWidth="1"/>
    <col min="2329" max="2330" width="5.42578125" style="414" customWidth="1"/>
    <col min="2331" max="2331" width="3.85546875" style="414" customWidth="1"/>
    <col min="2332" max="2332" width="3.42578125" style="414" customWidth="1"/>
    <col min="2333" max="2333" width="3" style="414" customWidth="1"/>
    <col min="2334" max="2334" width="5.7109375" style="414" customWidth="1"/>
    <col min="2335" max="2335" width="5.28515625" style="414" customWidth="1"/>
    <col min="2336" max="2336" width="5" style="414" customWidth="1"/>
    <col min="2337" max="2337" width="0" style="414" hidden="1" customWidth="1"/>
    <col min="2338" max="2338" width="3.7109375" style="414" customWidth="1"/>
    <col min="2339" max="2339" width="5.7109375" style="414" customWidth="1"/>
    <col min="2340" max="2340" width="7.42578125" style="414" customWidth="1"/>
    <col min="2341" max="2341" width="7.85546875" style="414" customWidth="1"/>
    <col min="2342" max="2342" width="7.5703125" style="414" customWidth="1"/>
    <col min="2343" max="2343" width="12.5703125" style="414" customWidth="1"/>
    <col min="2344" max="2344" width="7.85546875" style="414" customWidth="1"/>
    <col min="2345" max="2345" width="11.28515625" style="414" bestFit="1" customWidth="1"/>
    <col min="2346" max="2346" width="5.7109375" style="414" customWidth="1"/>
    <col min="2347" max="2347" width="2.7109375" style="414" customWidth="1"/>
    <col min="2348" max="2348" width="11.42578125" style="414" customWidth="1"/>
    <col min="2349" max="2349" width="10.85546875" style="414" customWidth="1"/>
    <col min="2350" max="2350" width="5.140625" style="414" customWidth="1"/>
    <col min="2351" max="2560" width="9.140625" style="414"/>
    <col min="2561" max="2561" width="2.140625" style="414" customWidth="1"/>
    <col min="2562" max="2562" width="16.42578125" style="414" customWidth="1"/>
    <col min="2563" max="2563" width="3.85546875" style="414" customWidth="1"/>
    <col min="2564" max="2564" width="6.5703125" style="414" customWidth="1"/>
    <col min="2565" max="2565" width="3.28515625" style="414" customWidth="1"/>
    <col min="2566" max="2566" width="6.28515625" style="414" customWidth="1"/>
    <col min="2567" max="2567" width="5.140625" style="414" customWidth="1"/>
    <col min="2568" max="2568" width="4.5703125" style="414" customWidth="1"/>
    <col min="2569" max="2569" width="5.28515625" style="414" customWidth="1"/>
    <col min="2570" max="2570" width="3.28515625" style="414" customWidth="1"/>
    <col min="2571" max="2571" width="3.5703125" style="414" customWidth="1"/>
    <col min="2572" max="2572" width="3" style="414" customWidth="1"/>
    <col min="2573" max="2573" width="5.140625" style="414" customWidth="1"/>
    <col min="2574" max="2574" width="7.140625" style="414" customWidth="1"/>
    <col min="2575" max="2575" width="6.7109375" style="414" customWidth="1"/>
    <col min="2576" max="2576" width="6.28515625" style="414" customWidth="1"/>
    <col min="2577" max="2577" width="5.85546875" style="414" customWidth="1"/>
    <col min="2578" max="2578" width="6.5703125" style="414" customWidth="1"/>
    <col min="2579" max="2579" width="3.5703125" style="414" customWidth="1"/>
    <col min="2580" max="2580" width="6.28515625" style="414" customWidth="1"/>
    <col min="2581" max="2581" width="2.85546875" style="414" customWidth="1"/>
    <col min="2582" max="2582" width="5.7109375" style="414" customWidth="1"/>
    <col min="2583" max="2583" width="6.140625" style="414" customWidth="1"/>
    <col min="2584" max="2584" width="6" style="414" customWidth="1"/>
    <col min="2585" max="2586" width="5.42578125" style="414" customWidth="1"/>
    <col min="2587" max="2587" width="3.85546875" style="414" customWidth="1"/>
    <col min="2588" max="2588" width="3.42578125" style="414" customWidth="1"/>
    <col min="2589" max="2589" width="3" style="414" customWidth="1"/>
    <col min="2590" max="2590" width="5.7109375" style="414" customWidth="1"/>
    <col min="2591" max="2591" width="5.28515625" style="414" customWidth="1"/>
    <col min="2592" max="2592" width="5" style="414" customWidth="1"/>
    <col min="2593" max="2593" width="0" style="414" hidden="1" customWidth="1"/>
    <col min="2594" max="2594" width="3.7109375" style="414" customWidth="1"/>
    <col min="2595" max="2595" width="5.7109375" style="414" customWidth="1"/>
    <col min="2596" max="2596" width="7.42578125" style="414" customWidth="1"/>
    <col min="2597" max="2597" width="7.85546875" style="414" customWidth="1"/>
    <col min="2598" max="2598" width="7.5703125" style="414" customWidth="1"/>
    <col min="2599" max="2599" width="12.5703125" style="414" customWidth="1"/>
    <col min="2600" max="2600" width="7.85546875" style="414" customWidth="1"/>
    <col min="2601" max="2601" width="11.28515625" style="414" bestFit="1" customWidth="1"/>
    <col min="2602" max="2602" width="5.7109375" style="414" customWidth="1"/>
    <col min="2603" max="2603" width="2.7109375" style="414" customWidth="1"/>
    <col min="2604" max="2604" width="11.42578125" style="414" customWidth="1"/>
    <col min="2605" max="2605" width="10.85546875" style="414" customWidth="1"/>
    <col min="2606" max="2606" width="5.140625" style="414" customWidth="1"/>
    <col min="2607" max="2816" width="9.140625" style="414"/>
    <col min="2817" max="2817" width="2.140625" style="414" customWidth="1"/>
    <col min="2818" max="2818" width="16.42578125" style="414" customWidth="1"/>
    <col min="2819" max="2819" width="3.85546875" style="414" customWidth="1"/>
    <col min="2820" max="2820" width="6.5703125" style="414" customWidth="1"/>
    <col min="2821" max="2821" width="3.28515625" style="414" customWidth="1"/>
    <col min="2822" max="2822" width="6.28515625" style="414" customWidth="1"/>
    <col min="2823" max="2823" width="5.140625" style="414" customWidth="1"/>
    <col min="2824" max="2824" width="4.5703125" style="414" customWidth="1"/>
    <col min="2825" max="2825" width="5.28515625" style="414" customWidth="1"/>
    <col min="2826" max="2826" width="3.28515625" style="414" customWidth="1"/>
    <col min="2827" max="2827" width="3.5703125" style="414" customWidth="1"/>
    <col min="2828" max="2828" width="3" style="414" customWidth="1"/>
    <col min="2829" max="2829" width="5.140625" style="414" customWidth="1"/>
    <col min="2830" max="2830" width="7.140625" style="414" customWidth="1"/>
    <col min="2831" max="2831" width="6.7109375" style="414" customWidth="1"/>
    <col min="2832" max="2832" width="6.28515625" style="414" customWidth="1"/>
    <col min="2833" max="2833" width="5.85546875" style="414" customWidth="1"/>
    <col min="2834" max="2834" width="6.5703125" style="414" customWidth="1"/>
    <col min="2835" max="2835" width="3.5703125" style="414" customWidth="1"/>
    <col min="2836" max="2836" width="6.28515625" style="414" customWidth="1"/>
    <col min="2837" max="2837" width="2.85546875" style="414" customWidth="1"/>
    <col min="2838" max="2838" width="5.7109375" style="414" customWidth="1"/>
    <col min="2839" max="2839" width="6.140625" style="414" customWidth="1"/>
    <col min="2840" max="2840" width="6" style="414" customWidth="1"/>
    <col min="2841" max="2842" width="5.42578125" style="414" customWidth="1"/>
    <col min="2843" max="2843" width="3.85546875" style="414" customWidth="1"/>
    <col min="2844" max="2844" width="3.42578125" style="414" customWidth="1"/>
    <col min="2845" max="2845" width="3" style="414" customWidth="1"/>
    <col min="2846" max="2846" width="5.7109375" style="414" customWidth="1"/>
    <col min="2847" max="2847" width="5.28515625" style="414" customWidth="1"/>
    <col min="2848" max="2848" width="5" style="414" customWidth="1"/>
    <col min="2849" max="2849" width="0" style="414" hidden="1" customWidth="1"/>
    <col min="2850" max="2850" width="3.7109375" style="414" customWidth="1"/>
    <col min="2851" max="2851" width="5.7109375" style="414" customWidth="1"/>
    <col min="2852" max="2852" width="7.42578125" style="414" customWidth="1"/>
    <col min="2853" max="2853" width="7.85546875" style="414" customWidth="1"/>
    <col min="2854" max="2854" width="7.5703125" style="414" customWidth="1"/>
    <col min="2855" max="2855" width="12.5703125" style="414" customWidth="1"/>
    <col min="2856" max="2856" width="7.85546875" style="414" customWidth="1"/>
    <col min="2857" max="2857" width="11.28515625" style="414" bestFit="1" customWidth="1"/>
    <col min="2858" max="2858" width="5.7109375" style="414" customWidth="1"/>
    <col min="2859" max="2859" width="2.7109375" style="414" customWidth="1"/>
    <col min="2860" max="2860" width="11.42578125" style="414" customWidth="1"/>
    <col min="2861" max="2861" width="10.85546875" style="414" customWidth="1"/>
    <col min="2862" max="2862" width="5.140625" style="414" customWidth="1"/>
    <col min="2863" max="3072" width="9.140625" style="414"/>
    <col min="3073" max="3073" width="2.140625" style="414" customWidth="1"/>
    <col min="3074" max="3074" width="16.42578125" style="414" customWidth="1"/>
    <col min="3075" max="3075" width="3.85546875" style="414" customWidth="1"/>
    <col min="3076" max="3076" width="6.5703125" style="414" customWidth="1"/>
    <col min="3077" max="3077" width="3.28515625" style="414" customWidth="1"/>
    <col min="3078" max="3078" width="6.28515625" style="414" customWidth="1"/>
    <col min="3079" max="3079" width="5.140625" style="414" customWidth="1"/>
    <col min="3080" max="3080" width="4.5703125" style="414" customWidth="1"/>
    <col min="3081" max="3081" width="5.28515625" style="414" customWidth="1"/>
    <col min="3082" max="3082" width="3.28515625" style="414" customWidth="1"/>
    <col min="3083" max="3083" width="3.5703125" style="414" customWidth="1"/>
    <col min="3084" max="3084" width="3" style="414" customWidth="1"/>
    <col min="3085" max="3085" width="5.140625" style="414" customWidth="1"/>
    <col min="3086" max="3086" width="7.140625" style="414" customWidth="1"/>
    <col min="3087" max="3087" width="6.7109375" style="414" customWidth="1"/>
    <col min="3088" max="3088" width="6.28515625" style="414" customWidth="1"/>
    <col min="3089" max="3089" width="5.85546875" style="414" customWidth="1"/>
    <col min="3090" max="3090" width="6.5703125" style="414" customWidth="1"/>
    <col min="3091" max="3091" width="3.5703125" style="414" customWidth="1"/>
    <col min="3092" max="3092" width="6.28515625" style="414" customWidth="1"/>
    <col min="3093" max="3093" width="2.85546875" style="414" customWidth="1"/>
    <col min="3094" max="3094" width="5.7109375" style="414" customWidth="1"/>
    <col min="3095" max="3095" width="6.140625" style="414" customWidth="1"/>
    <col min="3096" max="3096" width="6" style="414" customWidth="1"/>
    <col min="3097" max="3098" width="5.42578125" style="414" customWidth="1"/>
    <col min="3099" max="3099" width="3.85546875" style="414" customWidth="1"/>
    <col min="3100" max="3100" width="3.42578125" style="414" customWidth="1"/>
    <col min="3101" max="3101" width="3" style="414" customWidth="1"/>
    <col min="3102" max="3102" width="5.7109375" style="414" customWidth="1"/>
    <col min="3103" max="3103" width="5.28515625" style="414" customWidth="1"/>
    <col min="3104" max="3104" width="5" style="414" customWidth="1"/>
    <col min="3105" max="3105" width="0" style="414" hidden="1" customWidth="1"/>
    <col min="3106" max="3106" width="3.7109375" style="414" customWidth="1"/>
    <col min="3107" max="3107" width="5.7109375" style="414" customWidth="1"/>
    <col min="3108" max="3108" width="7.42578125" style="414" customWidth="1"/>
    <col min="3109" max="3109" width="7.85546875" style="414" customWidth="1"/>
    <col min="3110" max="3110" width="7.5703125" style="414" customWidth="1"/>
    <col min="3111" max="3111" width="12.5703125" style="414" customWidth="1"/>
    <col min="3112" max="3112" width="7.85546875" style="414" customWidth="1"/>
    <col min="3113" max="3113" width="11.28515625" style="414" bestFit="1" customWidth="1"/>
    <col min="3114" max="3114" width="5.7109375" style="414" customWidth="1"/>
    <col min="3115" max="3115" width="2.7109375" style="414" customWidth="1"/>
    <col min="3116" max="3116" width="11.42578125" style="414" customWidth="1"/>
    <col min="3117" max="3117" width="10.85546875" style="414" customWidth="1"/>
    <col min="3118" max="3118" width="5.140625" style="414" customWidth="1"/>
    <col min="3119" max="3328" width="9.140625" style="414"/>
    <col min="3329" max="3329" width="2.140625" style="414" customWidth="1"/>
    <col min="3330" max="3330" width="16.42578125" style="414" customWidth="1"/>
    <col min="3331" max="3331" width="3.85546875" style="414" customWidth="1"/>
    <col min="3332" max="3332" width="6.5703125" style="414" customWidth="1"/>
    <col min="3333" max="3333" width="3.28515625" style="414" customWidth="1"/>
    <col min="3334" max="3334" width="6.28515625" style="414" customWidth="1"/>
    <col min="3335" max="3335" width="5.140625" style="414" customWidth="1"/>
    <col min="3336" max="3336" width="4.5703125" style="414" customWidth="1"/>
    <col min="3337" max="3337" width="5.28515625" style="414" customWidth="1"/>
    <col min="3338" max="3338" width="3.28515625" style="414" customWidth="1"/>
    <col min="3339" max="3339" width="3.5703125" style="414" customWidth="1"/>
    <col min="3340" max="3340" width="3" style="414" customWidth="1"/>
    <col min="3341" max="3341" width="5.140625" style="414" customWidth="1"/>
    <col min="3342" max="3342" width="7.140625" style="414" customWidth="1"/>
    <col min="3343" max="3343" width="6.7109375" style="414" customWidth="1"/>
    <col min="3344" max="3344" width="6.28515625" style="414" customWidth="1"/>
    <col min="3345" max="3345" width="5.85546875" style="414" customWidth="1"/>
    <col min="3346" max="3346" width="6.5703125" style="414" customWidth="1"/>
    <col min="3347" max="3347" width="3.5703125" style="414" customWidth="1"/>
    <col min="3348" max="3348" width="6.28515625" style="414" customWidth="1"/>
    <col min="3349" max="3349" width="2.85546875" style="414" customWidth="1"/>
    <col min="3350" max="3350" width="5.7109375" style="414" customWidth="1"/>
    <col min="3351" max="3351" width="6.140625" style="414" customWidth="1"/>
    <col min="3352" max="3352" width="6" style="414" customWidth="1"/>
    <col min="3353" max="3354" width="5.42578125" style="414" customWidth="1"/>
    <col min="3355" max="3355" width="3.85546875" style="414" customWidth="1"/>
    <col min="3356" max="3356" width="3.42578125" style="414" customWidth="1"/>
    <col min="3357" max="3357" width="3" style="414" customWidth="1"/>
    <col min="3358" max="3358" width="5.7109375" style="414" customWidth="1"/>
    <col min="3359" max="3359" width="5.28515625" style="414" customWidth="1"/>
    <col min="3360" max="3360" width="5" style="414" customWidth="1"/>
    <col min="3361" max="3361" width="0" style="414" hidden="1" customWidth="1"/>
    <col min="3362" max="3362" width="3.7109375" style="414" customWidth="1"/>
    <col min="3363" max="3363" width="5.7109375" style="414" customWidth="1"/>
    <col min="3364" max="3364" width="7.42578125" style="414" customWidth="1"/>
    <col min="3365" max="3365" width="7.85546875" style="414" customWidth="1"/>
    <col min="3366" max="3366" width="7.5703125" style="414" customWidth="1"/>
    <col min="3367" max="3367" width="12.5703125" style="414" customWidth="1"/>
    <col min="3368" max="3368" width="7.85546875" style="414" customWidth="1"/>
    <col min="3369" max="3369" width="11.28515625" style="414" bestFit="1" customWidth="1"/>
    <col min="3370" max="3370" width="5.7109375" style="414" customWidth="1"/>
    <col min="3371" max="3371" width="2.7109375" style="414" customWidth="1"/>
    <col min="3372" max="3372" width="11.42578125" style="414" customWidth="1"/>
    <col min="3373" max="3373" width="10.85546875" style="414" customWidth="1"/>
    <col min="3374" max="3374" width="5.140625" style="414" customWidth="1"/>
    <col min="3375" max="3584" width="9.140625" style="414"/>
    <col min="3585" max="3585" width="2.140625" style="414" customWidth="1"/>
    <col min="3586" max="3586" width="16.42578125" style="414" customWidth="1"/>
    <col min="3587" max="3587" width="3.85546875" style="414" customWidth="1"/>
    <col min="3588" max="3588" width="6.5703125" style="414" customWidth="1"/>
    <col min="3589" max="3589" width="3.28515625" style="414" customWidth="1"/>
    <col min="3590" max="3590" width="6.28515625" style="414" customWidth="1"/>
    <col min="3591" max="3591" width="5.140625" style="414" customWidth="1"/>
    <col min="3592" max="3592" width="4.5703125" style="414" customWidth="1"/>
    <col min="3593" max="3593" width="5.28515625" style="414" customWidth="1"/>
    <col min="3594" max="3594" width="3.28515625" style="414" customWidth="1"/>
    <col min="3595" max="3595" width="3.5703125" style="414" customWidth="1"/>
    <col min="3596" max="3596" width="3" style="414" customWidth="1"/>
    <col min="3597" max="3597" width="5.140625" style="414" customWidth="1"/>
    <col min="3598" max="3598" width="7.140625" style="414" customWidth="1"/>
    <col min="3599" max="3599" width="6.7109375" style="414" customWidth="1"/>
    <col min="3600" max="3600" width="6.28515625" style="414" customWidth="1"/>
    <col min="3601" max="3601" width="5.85546875" style="414" customWidth="1"/>
    <col min="3602" max="3602" width="6.5703125" style="414" customWidth="1"/>
    <col min="3603" max="3603" width="3.5703125" style="414" customWidth="1"/>
    <col min="3604" max="3604" width="6.28515625" style="414" customWidth="1"/>
    <col min="3605" max="3605" width="2.85546875" style="414" customWidth="1"/>
    <col min="3606" max="3606" width="5.7109375" style="414" customWidth="1"/>
    <col min="3607" max="3607" width="6.140625" style="414" customWidth="1"/>
    <col min="3608" max="3608" width="6" style="414" customWidth="1"/>
    <col min="3609" max="3610" width="5.42578125" style="414" customWidth="1"/>
    <col min="3611" max="3611" width="3.85546875" style="414" customWidth="1"/>
    <col min="3612" max="3612" width="3.42578125" style="414" customWidth="1"/>
    <col min="3613" max="3613" width="3" style="414" customWidth="1"/>
    <col min="3614" max="3614" width="5.7109375" style="414" customWidth="1"/>
    <col min="3615" max="3615" width="5.28515625" style="414" customWidth="1"/>
    <col min="3616" max="3616" width="5" style="414" customWidth="1"/>
    <col min="3617" max="3617" width="0" style="414" hidden="1" customWidth="1"/>
    <col min="3618" max="3618" width="3.7109375" style="414" customWidth="1"/>
    <col min="3619" max="3619" width="5.7109375" style="414" customWidth="1"/>
    <col min="3620" max="3620" width="7.42578125" style="414" customWidth="1"/>
    <col min="3621" max="3621" width="7.85546875" style="414" customWidth="1"/>
    <col min="3622" max="3622" width="7.5703125" style="414" customWidth="1"/>
    <col min="3623" max="3623" width="12.5703125" style="414" customWidth="1"/>
    <col min="3624" max="3624" width="7.85546875" style="414" customWidth="1"/>
    <col min="3625" max="3625" width="11.28515625" style="414" bestFit="1" customWidth="1"/>
    <col min="3626" max="3626" width="5.7109375" style="414" customWidth="1"/>
    <col min="3627" max="3627" width="2.7109375" style="414" customWidth="1"/>
    <col min="3628" max="3628" width="11.42578125" style="414" customWidth="1"/>
    <col min="3629" max="3629" width="10.85546875" style="414" customWidth="1"/>
    <col min="3630" max="3630" width="5.140625" style="414" customWidth="1"/>
    <col min="3631" max="3840" width="9.140625" style="414"/>
    <col min="3841" max="3841" width="2.140625" style="414" customWidth="1"/>
    <col min="3842" max="3842" width="16.42578125" style="414" customWidth="1"/>
    <col min="3843" max="3843" width="3.85546875" style="414" customWidth="1"/>
    <col min="3844" max="3844" width="6.5703125" style="414" customWidth="1"/>
    <col min="3845" max="3845" width="3.28515625" style="414" customWidth="1"/>
    <col min="3846" max="3846" width="6.28515625" style="414" customWidth="1"/>
    <col min="3847" max="3847" width="5.140625" style="414" customWidth="1"/>
    <col min="3848" max="3848" width="4.5703125" style="414" customWidth="1"/>
    <col min="3849" max="3849" width="5.28515625" style="414" customWidth="1"/>
    <col min="3850" max="3850" width="3.28515625" style="414" customWidth="1"/>
    <col min="3851" max="3851" width="3.5703125" style="414" customWidth="1"/>
    <col min="3852" max="3852" width="3" style="414" customWidth="1"/>
    <col min="3853" max="3853" width="5.140625" style="414" customWidth="1"/>
    <col min="3854" max="3854" width="7.140625" style="414" customWidth="1"/>
    <col min="3855" max="3855" width="6.7109375" style="414" customWidth="1"/>
    <col min="3856" max="3856" width="6.28515625" style="414" customWidth="1"/>
    <col min="3857" max="3857" width="5.85546875" style="414" customWidth="1"/>
    <col min="3858" max="3858" width="6.5703125" style="414" customWidth="1"/>
    <col min="3859" max="3859" width="3.5703125" style="414" customWidth="1"/>
    <col min="3860" max="3860" width="6.28515625" style="414" customWidth="1"/>
    <col min="3861" max="3861" width="2.85546875" style="414" customWidth="1"/>
    <col min="3862" max="3862" width="5.7109375" style="414" customWidth="1"/>
    <col min="3863" max="3863" width="6.140625" style="414" customWidth="1"/>
    <col min="3864" max="3864" width="6" style="414" customWidth="1"/>
    <col min="3865" max="3866" width="5.42578125" style="414" customWidth="1"/>
    <col min="3867" max="3867" width="3.85546875" style="414" customWidth="1"/>
    <col min="3868" max="3868" width="3.42578125" style="414" customWidth="1"/>
    <col min="3869" max="3869" width="3" style="414" customWidth="1"/>
    <col min="3870" max="3870" width="5.7109375" style="414" customWidth="1"/>
    <col min="3871" max="3871" width="5.28515625" style="414" customWidth="1"/>
    <col min="3872" max="3872" width="5" style="414" customWidth="1"/>
    <col min="3873" max="3873" width="0" style="414" hidden="1" customWidth="1"/>
    <col min="3874" max="3874" width="3.7109375" style="414" customWidth="1"/>
    <col min="3875" max="3875" width="5.7109375" style="414" customWidth="1"/>
    <col min="3876" max="3876" width="7.42578125" style="414" customWidth="1"/>
    <col min="3877" max="3877" width="7.85546875" style="414" customWidth="1"/>
    <col min="3878" max="3878" width="7.5703125" style="414" customWidth="1"/>
    <col min="3879" max="3879" width="12.5703125" style="414" customWidth="1"/>
    <col min="3880" max="3880" width="7.85546875" style="414" customWidth="1"/>
    <col min="3881" max="3881" width="11.28515625" style="414" bestFit="1" customWidth="1"/>
    <col min="3882" max="3882" width="5.7109375" style="414" customWidth="1"/>
    <col min="3883" max="3883" width="2.7109375" style="414" customWidth="1"/>
    <col min="3884" max="3884" width="11.42578125" style="414" customWidth="1"/>
    <col min="3885" max="3885" width="10.85546875" style="414" customWidth="1"/>
    <col min="3886" max="3886" width="5.140625" style="414" customWidth="1"/>
    <col min="3887" max="4096" width="9.140625" style="414"/>
    <col min="4097" max="4097" width="2.140625" style="414" customWidth="1"/>
    <col min="4098" max="4098" width="16.42578125" style="414" customWidth="1"/>
    <col min="4099" max="4099" width="3.85546875" style="414" customWidth="1"/>
    <col min="4100" max="4100" width="6.5703125" style="414" customWidth="1"/>
    <col min="4101" max="4101" width="3.28515625" style="414" customWidth="1"/>
    <col min="4102" max="4102" width="6.28515625" style="414" customWidth="1"/>
    <col min="4103" max="4103" width="5.140625" style="414" customWidth="1"/>
    <col min="4104" max="4104" width="4.5703125" style="414" customWidth="1"/>
    <col min="4105" max="4105" width="5.28515625" style="414" customWidth="1"/>
    <col min="4106" max="4106" width="3.28515625" style="414" customWidth="1"/>
    <col min="4107" max="4107" width="3.5703125" style="414" customWidth="1"/>
    <col min="4108" max="4108" width="3" style="414" customWidth="1"/>
    <col min="4109" max="4109" width="5.140625" style="414" customWidth="1"/>
    <col min="4110" max="4110" width="7.140625" style="414" customWidth="1"/>
    <col min="4111" max="4111" width="6.7109375" style="414" customWidth="1"/>
    <col min="4112" max="4112" width="6.28515625" style="414" customWidth="1"/>
    <col min="4113" max="4113" width="5.85546875" style="414" customWidth="1"/>
    <col min="4114" max="4114" width="6.5703125" style="414" customWidth="1"/>
    <col min="4115" max="4115" width="3.5703125" style="414" customWidth="1"/>
    <col min="4116" max="4116" width="6.28515625" style="414" customWidth="1"/>
    <col min="4117" max="4117" width="2.85546875" style="414" customWidth="1"/>
    <col min="4118" max="4118" width="5.7109375" style="414" customWidth="1"/>
    <col min="4119" max="4119" width="6.140625" style="414" customWidth="1"/>
    <col min="4120" max="4120" width="6" style="414" customWidth="1"/>
    <col min="4121" max="4122" width="5.42578125" style="414" customWidth="1"/>
    <col min="4123" max="4123" width="3.85546875" style="414" customWidth="1"/>
    <col min="4124" max="4124" width="3.42578125" style="414" customWidth="1"/>
    <col min="4125" max="4125" width="3" style="414" customWidth="1"/>
    <col min="4126" max="4126" width="5.7109375" style="414" customWidth="1"/>
    <col min="4127" max="4127" width="5.28515625" style="414" customWidth="1"/>
    <col min="4128" max="4128" width="5" style="414" customWidth="1"/>
    <col min="4129" max="4129" width="0" style="414" hidden="1" customWidth="1"/>
    <col min="4130" max="4130" width="3.7109375" style="414" customWidth="1"/>
    <col min="4131" max="4131" width="5.7109375" style="414" customWidth="1"/>
    <col min="4132" max="4132" width="7.42578125" style="414" customWidth="1"/>
    <col min="4133" max="4133" width="7.85546875" style="414" customWidth="1"/>
    <col min="4134" max="4134" width="7.5703125" style="414" customWidth="1"/>
    <col min="4135" max="4135" width="12.5703125" style="414" customWidth="1"/>
    <col min="4136" max="4136" width="7.85546875" style="414" customWidth="1"/>
    <col min="4137" max="4137" width="11.28515625" style="414" bestFit="1" customWidth="1"/>
    <col min="4138" max="4138" width="5.7109375" style="414" customWidth="1"/>
    <col min="4139" max="4139" width="2.7109375" style="414" customWidth="1"/>
    <col min="4140" max="4140" width="11.42578125" style="414" customWidth="1"/>
    <col min="4141" max="4141" width="10.85546875" style="414" customWidth="1"/>
    <col min="4142" max="4142" width="5.140625" style="414" customWidth="1"/>
    <col min="4143" max="4352" width="9.140625" style="414"/>
    <col min="4353" max="4353" width="2.140625" style="414" customWidth="1"/>
    <col min="4354" max="4354" width="16.42578125" style="414" customWidth="1"/>
    <col min="4355" max="4355" width="3.85546875" style="414" customWidth="1"/>
    <col min="4356" max="4356" width="6.5703125" style="414" customWidth="1"/>
    <col min="4357" max="4357" width="3.28515625" style="414" customWidth="1"/>
    <col min="4358" max="4358" width="6.28515625" style="414" customWidth="1"/>
    <col min="4359" max="4359" width="5.140625" style="414" customWidth="1"/>
    <col min="4360" max="4360" width="4.5703125" style="414" customWidth="1"/>
    <col min="4361" max="4361" width="5.28515625" style="414" customWidth="1"/>
    <col min="4362" max="4362" width="3.28515625" style="414" customWidth="1"/>
    <col min="4363" max="4363" width="3.5703125" style="414" customWidth="1"/>
    <col min="4364" max="4364" width="3" style="414" customWidth="1"/>
    <col min="4365" max="4365" width="5.140625" style="414" customWidth="1"/>
    <col min="4366" max="4366" width="7.140625" style="414" customWidth="1"/>
    <col min="4367" max="4367" width="6.7109375" style="414" customWidth="1"/>
    <col min="4368" max="4368" width="6.28515625" style="414" customWidth="1"/>
    <col min="4369" max="4369" width="5.85546875" style="414" customWidth="1"/>
    <col min="4370" max="4370" width="6.5703125" style="414" customWidth="1"/>
    <col min="4371" max="4371" width="3.5703125" style="414" customWidth="1"/>
    <col min="4372" max="4372" width="6.28515625" style="414" customWidth="1"/>
    <col min="4373" max="4373" width="2.85546875" style="414" customWidth="1"/>
    <col min="4374" max="4374" width="5.7109375" style="414" customWidth="1"/>
    <col min="4375" max="4375" width="6.140625" style="414" customWidth="1"/>
    <col min="4376" max="4376" width="6" style="414" customWidth="1"/>
    <col min="4377" max="4378" width="5.42578125" style="414" customWidth="1"/>
    <col min="4379" max="4379" width="3.85546875" style="414" customWidth="1"/>
    <col min="4380" max="4380" width="3.42578125" style="414" customWidth="1"/>
    <col min="4381" max="4381" width="3" style="414" customWidth="1"/>
    <col min="4382" max="4382" width="5.7109375" style="414" customWidth="1"/>
    <col min="4383" max="4383" width="5.28515625" style="414" customWidth="1"/>
    <col min="4384" max="4384" width="5" style="414" customWidth="1"/>
    <col min="4385" max="4385" width="0" style="414" hidden="1" customWidth="1"/>
    <col min="4386" max="4386" width="3.7109375" style="414" customWidth="1"/>
    <col min="4387" max="4387" width="5.7109375" style="414" customWidth="1"/>
    <col min="4388" max="4388" width="7.42578125" style="414" customWidth="1"/>
    <col min="4389" max="4389" width="7.85546875" style="414" customWidth="1"/>
    <col min="4390" max="4390" width="7.5703125" style="414" customWidth="1"/>
    <col min="4391" max="4391" width="12.5703125" style="414" customWidth="1"/>
    <col min="4392" max="4392" width="7.85546875" style="414" customWidth="1"/>
    <col min="4393" max="4393" width="11.28515625" style="414" bestFit="1" customWidth="1"/>
    <col min="4394" max="4394" width="5.7109375" style="414" customWidth="1"/>
    <col min="4395" max="4395" width="2.7109375" style="414" customWidth="1"/>
    <col min="4396" max="4396" width="11.42578125" style="414" customWidth="1"/>
    <col min="4397" max="4397" width="10.85546875" style="414" customWidth="1"/>
    <col min="4398" max="4398" width="5.140625" style="414" customWidth="1"/>
    <col min="4399" max="4608" width="9.140625" style="414"/>
    <col min="4609" max="4609" width="2.140625" style="414" customWidth="1"/>
    <col min="4610" max="4610" width="16.42578125" style="414" customWidth="1"/>
    <col min="4611" max="4611" width="3.85546875" style="414" customWidth="1"/>
    <col min="4612" max="4612" width="6.5703125" style="414" customWidth="1"/>
    <col min="4613" max="4613" width="3.28515625" style="414" customWidth="1"/>
    <col min="4614" max="4614" width="6.28515625" style="414" customWidth="1"/>
    <col min="4615" max="4615" width="5.140625" style="414" customWidth="1"/>
    <col min="4616" max="4616" width="4.5703125" style="414" customWidth="1"/>
    <col min="4617" max="4617" width="5.28515625" style="414" customWidth="1"/>
    <col min="4618" max="4618" width="3.28515625" style="414" customWidth="1"/>
    <col min="4619" max="4619" width="3.5703125" style="414" customWidth="1"/>
    <col min="4620" max="4620" width="3" style="414" customWidth="1"/>
    <col min="4621" max="4621" width="5.140625" style="414" customWidth="1"/>
    <col min="4622" max="4622" width="7.140625" style="414" customWidth="1"/>
    <col min="4623" max="4623" width="6.7109375" style="414" customWidth="1"/>
    <col min="4624" max="4624" width="6.28515625" style="414" customWidth="1"/>
    <col min="4625" max="4625" width="5.85546875" style="414" customWidth="1"/>
    <col min="4626" max="4626" width="6.5703125" style="414" customWidth="1"/>
    <col min="4627" max="4627" width="3.5703125" style="414" customWidth="1"/>
    <col min="4628" max="4628" width="6.28515625" style="414" customWidth="1"/>
    <col min="4629" max="4629" width="2.85546875" style="414" customWidth="1"/>
    <col min="4630" max="4630" width="5.7109375" style="414" customWidth="1"/>
    <col min="4631" max="4631" width="6.140625" style="414" customWidth="1"/>
    <col min="4632" max="4632" width="6" style="414" customWidth="1"/>
    <col min="4633" max="4634" width="5.42578125" style="414" customWidth="1"/>
    <col min="4635" max="4635" width="3.85546875" style="414" customWidth="1"/>
    <col min="4636" max="4636" width="3.42578125" style="414" customWidth="1"/>
    <col min="4637" max="4637" width="3" style="414" customWidth="1"/>
    <col min="4638" max="4638" width="5.7109375" style="414" customWidth="1"/>
    <col min="4639" max="4639" width="5.28515625" style="414" customWidth="1"/>
    <col min="4640" max="4640" width="5" style="414" customWidth="1"/>
    <col min="4641" max="4641" width="0" style="414" hidden="1" customWidth="1"/>
    <col min="4642" max="4642" width="3.7109375" style="414" customWidth="1"/>
    <col min="4643" max="4643" width="5.7109375" style="414" customWidth="1"/>
    <col min="4644" max="4644" width="7.42578125" style="414" customWidth="1"/>
    <col min="4645" max="4645" width="7.85546875" style="414" customWidth="1"/>
    <col min="4646" max="4646" width="7.5703125" style="414" customWidth="1"/>
    <col min="4647" max="4647" width="12.5703125" style="414" customWidth="1"/>
    <col min="4648" max="4648" width="7.85546875" style="414" customWidth="1"/>
    <col min="4649" max="4649" width="11.28515625" style="414" bestFit="1" customWidth="1"/>
    <col min="4650" max="4650" width="5.7109375" style="414" customWidth="1"/>
    <col min="4651" max="4651" width="2.7109375" style="414" customWidth="1"/>
    <col min="4652" max="4652" width="11.42578125" style="414" customWidth="1"/>
    <col min="4653" max="4653" width="10.85546875" style="414" customWidth="1"/>
    <col min="4654" max="4654" width="5.140625" style="414" customWidth="1"/>
    <col min="4655" max="4864" width="9.140625" style="414"/>
    <col min="4865" max="4865" width="2.140625" style="414" customWidth="1"/>
    <col min="4866" max="4866" width="16.42578125" style="414" customWidth="1"/>
    <col min="4867" max="4867" width="3.85546875" style="414" customWidth="1"/>
    <col min="4868" max="4868" width="6.5703125" style="414" customWidth="1"/>
    <col min="4869" max="4869" width="3.28515625" style="414" customWidth="1"/>
    <col min="4870" max="4870" width="6.28515625" style="414" customWidth="1"/>
    <col min="4871" max="4871" width="5.140625" style="414" customWidth="1"/>
    <col min="4872" max="4872" width="4.5703125" style="414" customWidth="1"/>
    <col min="4873" max="4873" width="5.28515625" style="414" customWidth="1"/>
    <col min="4874" max="4874" width="3.28515625" style="414" customWidth="1"/>
    <col min="4875" max="4875" width="3.5703125" style="414" customWidth="1"/>
    <col min="4876" max="4876" width="3" style="414" customWidth="1"/>
    <col min="4877" max="4877" width="5.140625" style="414" customWidth="1"/>
    <col min="4878" max="4878" width="7.140625" style="414" customWidth="1"/>
    <col min="4879" max="4879" width="6.7109375" style="414" customWidth="1"/>
    <col min="4880" max="4880" width="6.28515625" style="414" customWidth="1"/>
    <col min="4881" max="4881" width="5.85546875" style="414" customWidth="1"/>
    <col min="4882" max="4882" width="6.5703125" style="414" customWidth="1"/>
    <col min="4883" max="4883" width="3.5703125" style="414" customWidth="1"/>
    <col min="4884" max="4884" width="6.28515625" style="414" customWidth="1"/>
    <col min="4885" max="4885" width="2.85546875" style="414" customWidth="1"/>
    <col min="4886" max="4886" width="5.7109375" style="414" customWidth="1"/>
    <col min="4887" max="4887" width="6.140625" style="414" customWidth="1"/>
    <col min="4888" max="4888" width="6" style="414" customWidth="1"/>
    <col min="4889" max="4890" width="5.42578125" style="414" customWidth="1"/>
    <col min="4891" max="4891" width="3.85546875" style="414" customWidth="1"/>
    <col min="4892" max="4892" width="3.42578125" style="414" customWidth="1"/>
    <col min="4893" max="4893" width="3" style="414" customWidth="1"/>
    <col min="4894" max="4894" width="5.7109375" style="414" customWidth="1"/>
    <col min="4895" max="4895" width="5.28515625" style="414" customWidth="1"/>
    <col min="4896" max="4896" width="5" style="414" customWidth="1"/>
    <col min="4897" max="4897" width="0" style="414" hidden="1" customWidth="1"/>
    <col min="4898" max="4898" width="3.7109375" style="414" customWidth="1"/>
    <col min="4899" max="4899" width="5.7109375" style="414" customWidth="1"/>
    <col min="4900" max="4900" width="7.42578125" style="414" customWidth="1"/>
    <col min="4901" max="4901" width="7.85546875" style="414" customWidth="1"/>
    <col min="4902" max="4902" width="7.5703125" style="414" customWidth="1"/>
    <col min="4903" max="4903" width="12.5703125" style="414" customWidth="1"/>
    <col min="4904" max="4904" width="7.85546875" style="414" customWidth="1"/>
    <col min="4905" max="4905" width="11.28515625" style="414" bestFit="1" customWidth="1"/>
    <col min="4906" max="4906" width="5.7109375" style="414" customWidth="1"/>
    <col min="4907" max="4907" width="2.7109375" style="414" customWidth="1"/>
    <col min="4908" max="4908" width="11.42578125" style="414" customWidth="1"/>
    <col min="4909" max="4909" width="10.85546875" style="414" customWidth="1"/>
    <col min="4910" max="4910" width="5.140625" style="414" customWidth="1"/>
    <col min="4911" max="5120" width="9.140625" style="414"/>
    <col min="5121" max="5121" width="2.140625" style="414" customWidth="1"/>
    <col min="5122" max="5122" width="16.42578125" style="414" customWidth="1"/>
    <col min="5123" max="5123" width="3.85546875" style="414" customWidth="1"/>
    <col min="5124" max="5124" width="6.5703125" style="414" customWidth="1"/>
    <col min="5125" max="5125" width="3.28515625" style="414" customWidth="1"/>
    <col min="5126" max="5126" width="6.28515625" style="414" customWidth="1"/>
    <col min="5127" max="5127" width="5.140625" style="414" customWidth="1"/>
    <col min="5128" max="5128" width="4.5703125" style="414" customWidth="1"/>
    <col min="5129" max="5129" width="5.28515625" style="414" customWidth="1"/>
    <col min="5130" max="5130" width="3.28515625" style="414" customWidth="1"/>
    <col min="5131" max="5131" width="3.5703125" style="414" customWidth="1"/>
    <col min="5132" max="5132" width="3" style="414" customWidth="1"/>
    <col min="5133" max="5133" width="5.140625" style="414" customWidth="1"/>
    <col min="5134" max="5134" width="7.140625" style="414" customWidth="1"/>
    <col min="5135" max="5135" width="6.7109375" style="414" customWidth="1"/>
    <col min="5136" max="5136" width="6.28515625" style="414" customWidth="1"/>
    <col min="5137" max="5137" width="5.85546875" style="414" customWidth="1"/>
    <col min="5138" max="5138" width="6.5703125" style="414" customWidth="1"/>
    <col min="5139" max="5139" width="3.5703125" style="414" customWidth="1"/>
    <col min="5140" max="5140" width="6.28515625" style="414" customWidth="1"/>
    <col min="5141" max="5141" width="2.85546875" style="414" customWidth="1"/>
    <col min="5142" max="5142" width="5.7109375" style="414" customWidth="1"/>
    <col min="5143" max="5143" width="6.140625" style="414" customWidth="1"/>
    <col min="5144" max="5144" width="6" style="414" customWidth="1"/>
    <col min="5145" max="5146" width="5.42578125" style="414" customWidth="1"/>
    <col min="5147" max="5147" width="3.85546875" style="414" customWidth="1"/>
    <col min="5148" max="5148" width="3.42578125" style="414" customWidth="1"/>
    <col min="5149" max="5149" width="3" style="414" customWidth="1"/>
    <col min="5150" max="5150" width="5.7109375" style="414" customWidth="1"/>
    <col min="5151" max="5151" width="5.28515625" style="414" customWidth="1"/>
    <col min="5152" max="5152" width="5" style="414" customWidth="1"/>
    <col min="5153" max="5153" width="0" style="414" hidden="1" customWidth="1"/>
    <col min="5154" max="5154" width="3.7109375" style="414" customWidth="1"/>
    <col min="5155" max="5155" width="5.7109375" style="414" customWidth="1"/>
    <col min="5156" max="5156" width="7.42578125" style="414" customWidth="1"/>
    <col min="5157" max="5157" width="7.85546875" style="414" customWidth="1"/>
    <col min="5158" max="5158" width="7.5703125" style="414" customWidth="1"/>
    <col min="5159" max="5159" width="12.5703125" style="414" customWidth="1"/>
    <col min="5160" max="5160" width="7.85546875" style="414" customWidth="1"/>
    <col min="5161" max="5161" width="11.28515625" style="414" bestFit="1" customWidth="1"/>
    <col min="5162" max="5162" width="5.7109375" style="414" customWidth="1"/>
    <col min="5163" max="5163" width="2.7109375" style="414" customWidth="1"/>
    <col min="5164" max="5164" width="11.42578125" style="414" customWidth="1"/>
    <col min="5165" max="5165" width="10.85546875" style="414" customWidth="1"/>
    <col min="5166" max="5166" width="5.140625" style="414" customWidth="1"/>
    <col min="5167" max="5376" width="9.140625" style="414"/>
    <col min="5377" max="5377" width="2.140625" style="414" customWidth="1"/>
    <col min="5378" max="5378" width="16.42578125" style="414" customWidth="1"/>
    <col min="5379" max="5379" width="3.85546875" style="414" customWidth="1"/>
    <col min="5380" max="5380" width="6.5703125" style="414" customWidth="1"/>
    <col min="5381" max="5381" width="3.28515625" style="414" customWidth="1"/>
    <col min="5382" max="5382" width="6.28515625" style="414" customWidth="1"/>
    <col min="5383" max="5383" width="5.140625" style="414" customWidth="1"/>
    <col min="5384" max="5384" width="4.5703125" style="414" customWidth="1"/>
    <col min="5385" max="5385" width="5.28515625" style="414" customWidth="1"/>
    <col min="5386" max="5386" width="3.28515625" style="414" customWidth="1"/>
    <col min="5387" max="5387" width="3.5703125" style="414" customWidth="1"/>
    <col min="5388" max="5388" width="3" style="414" customWidth="1"/>
    <col min="5389" max="5389" width="5.140625" style="414" customWidth="1"/>
    <col min="5390" max="5390" width="7.140625" style="414" customWidth="1"/>
    <col min="5391" max="5391" width="6.7109375" style="414" customWidth="1"/>
    <col min="5392" max="5392" width="6.28515625" style="414" customWidth="1"/>
    <col min="5393" max="5393" width="5.85546875" style="414" customWidth="1"/>
    <col min="5394" max="5394" width="6.5703125" style="414" customWidth="1"/>
    <col min="5395" max="5395" width="3.5703125" style="414" customWidth="1"/>
    <col min="5396" max="5396" width="6.28515625" style="414" customWidth="1"/>
    <col min="5397" max="5397" width="2.85546875" style="414" customWidth="1"/>
    <col min="5398" max="5398" width="5.7109375" style="414" customWidth="1"/>
    <col min="5399" max="5399" width="6.140625" style="414" customWidth="1"/>
    <col min="5400" max="5400" width="6" style="414" customWidth="1"/>
    <col min="5401" max="5402" width="5.42578125" style="414" customWidth="1"/>
    <col min="5403" max="5403" width="3.85546875" style="414" customWidth="1"/>
    <col min="5404" max="5404" width="3.42578125" style="414" customWidth="1"/>
    <col min="5405" max="5405" width="3" style="414" customWidth="1"/>
    <col min="5406" max="5406" width="5.7109375" style="414" customWidth="1"/>
    <col min="5407" max="5407" width="5.28515625" style="414" customWidth="1"/>
    <col min="5408" max="5408" width="5" style="414" customWidth="1"/>
    <col min="5409" max="5409" width="0" style="414" hidden="1" customWidth="1"/>
    <col min="5410" max="5410" width="3.7109375" style="414" customWidth="1"/>
    <col min="5411" max="5411" width="5.7109375" style="414" customWidth="1"/>
    <col min="5412" max="5412" width="7.42578125" style="414" customWidth="1"/>
    <col min="5413" max="5413" width="7.85546875" style="414" customWidth="1"/>
    <col min="5414" max="5414" width="7.5703125" style="414" customWidth="1"/>
    <col min="5415" max="5415" width="12.5703125" style="414" customWidth="1"/>
    <col min="5416" max="5416" width="7.85546875" style="414" customWidth="1"/>
    <col min="5417" max="5417" width="11.28515625" style="414" bestFit="1" customWidth="1"/>
    <col min="5418" max="5418" width="5.7109375" style="414" customWidth="1"/>
    <col min="5419" max="5419" width="2.7109375" style="414" customWidth="1"/>
    <col min="5420" max="5420" width="11.42578125" style="414" customWidth="1"/>
    <col min="5421" max="5421" width="10.85546875" style="414" customWidth="1"/>
    <col min="5422" max="5422" width="5.140625" style="414" customWidth="1"/>
    <col min="5423" max="5632" width="9.140625" style="414"/>
    <col min="5633" max="5633" width="2.140625" style="414" customWidth="1"/>
    <col min="5634" max="5634" width="16.42578125" style="414" customWidth="1"/>
    <col min="5635" max="5635" width="3.85546875" style="414" customWidth="1"/>
    <col min="5636" max="5636" width="6.5703125" style="414" customWidth="1"/>
    <col min="5637" max="5637" width="3.28515625" style="414" customWidth="1"/>
    <col min="5638" max="5638" width="6.28515625" style="414" customWidth="1"/>
    <col min="5639" max="5639" width="5.140625" style="414" customWidth="1"/>
    <col min="5640" max="5640" width="4.5703125" style="414" customWidth="1"/>
    <col min="5641" max="5641" width="5.28515625" style="414" customWidth="1"/>
    <col min="5642" max="5642" width="3.28515625" style="414" customWidth="1"/>
    <col min="5643" max="5643" width="3.5703125" style="414" customWidth="1"/>
    <col min="5644" max="5644" width="3" style="414" customWidth="1"/>
    <col min="5645" max="5645" width="5.140625" style="414" customWidth="1"/>
    <col min="5646" max="5646" width="7.140625" style="414" customWidth="1"/>
    <col min="5647" max="5647" width="6.7109375" style="414" customWidth="1"/>
    <col min="5648" max="5648" width="6.28515625" style="414" customWidth="1"/>
    <col min="5649" max="5649" width="5.85546875" style="414" customWidth="1"/>
    <col min="5650" max="5650" width="6.5703125" style="414" customWidth="1"/>
    <col min="5651" max="5651" width="3.5703125" style="414" customWidth="1"/>
    <col min="5652" max="5652" width="6.28515625" style="414" customWidth="1"/>
    <col min="5653" max="5653" width="2.85546875" style="414" customWidth="1"/>
    <col min="5654" max="5654" width="5.7109375" style="414" customWidth="1"/>
    <col min="5655" max="5655" width="6.140625" style="414" customWidth="1"/>
    <col min="5656" max="5656" width="6" style="414" customWidth="1"/>
    <col min="5657" max="5658" width="5.42578125" style="414" customWidth="1"/>
    <col min="5659" max="5659" width="3.85546875" style="414" customWidth="1"/>
    <col min="5660" max="5660" width="3.42578125" style="414" customWidth="1"/>
    <col min="5661" max="5661" width="3" style="414" customWidth="1"/>
    <col min="5662" max="5662" width="5.7109375" style="414" customWidth="1"/>
    <col min="5663" max="5663" width="5.28515625" style="414" customWidth="1"/>
    <col min="5664" max="5664" width="5" style="414" customWidth="1"/>
    <col min="5665" max="5665" width="0" style="414" hidden="1" customWidth="1"/>
    <col min="5666" max="5666" width="3.7109375" style="414" customWidth="1"/>
    <col min="5667" max="5667" width="5.7109375" style="414" customWidth="1"/>
    <col min="5668" max="5668" width="7.42578125" style="414" customWidth="1"/>
    <col min="5669" max="5669" width="7.85546875" style="414" customWidth="1"/>
    <col min="5670" max="5670" width="7.5703125" style="414" customWidth="1"/>
    <col min="5671" max="5671" width="12.5703125" style="414" customWidth="1"/>
    <col min="5672" max="5672" width="7.85546875" style="414" customWidth="1"/>
    <col min="5673" max="5673" width="11.28515625" style="414" bestFit="1" customWidth="1"/>
    <col min="5674" max="5674" width="5.7109375" style="414" customWidth="1"/>
    <col min="5675" max="5675" width="2.7109375" style="414" customWidth="1"/>
    <col min="5676" max="5676" width="11.42578125" style="414" customWidth="1"/>
    <col min="5677" max="5677" width="10.85546875" style="414" customWidth="1"/>
    <col min="5678" max="5678" width="5.140625" style="414" customWidth="1"/>
    <col min="5679" max="5888" width="9.140625" style="414"/>
    <col min="5889" max="5889" width="2.140625" style="414" customWidth="1"/>
    <col min="5890" max="5890" width="16.42578125" style="414" customWidth="1"/>
    <col min="5891" max="5891" width="3.85546875" style="414" customWidth="1"/>
    <col min="5892" max="5892" width="6.5703125" style="414" customWidth="1"/>
    <col min="5893" max="5893" width="3.28515625" style="414" customWidth="1"/>
    <col min="5894" max="5894" width="6.28515625" style="414" customWidth="1"/>
    <col min="5895" max="5895" width="5.140625" style="414" customWidth="1"/>
    <col min="5896" max="5896" width="4.5703125" style="414" customWidth="1"/>
    <col min="5897" max="5897" width="5.28515625" style="414" customWidth="1"/>
    <col min="5898" max="5898" width="3.28515625" style="414" customWidth="1"/>
    <col min="5899" max="5899" width="3.5703125" style="414" customWidth="1"/>
    <col min="5900" max="5900" width="3" style="414" customWidth="1"/>
    <col min="5901" max="5901" width="5.140625" style="414" customWidth="1"/>
    <col min="5902" max="5902" width="7.140625" style="414" customWidth="1"/>
    <col min="5903" max="5903" width="6.7109375" style="414" customWidth="1"/>
    <col min="5904" max="5904" width="6.28515625" style="414" customWidth="1"/>
    <col min="5905" max="5905" width="5.85546875" style="414" customWidth="1"/>
    <col min="5906" max="5906" width="6.5703125" style="414" customWidth="1"/>
    <col min="5907" max="5907" width="3.5703125" style="414" customWidth="1"/>
    <col min="5908" max="5908" width="6.28515625" style="414" customWidth="1"/>
    <col min="5909" max="5909" width="2.85546875" style="414" customWidth="1"/>
    <col min="5910" max="5910" width="5.7109375" style="414" customWidth="1"/>
    <col min="5911" max="5911" width="6.140625" style="414" customWidth="1"/>
    <col min="5912" max="5912" width="6" style="414" customWidth="1"/>
    <col min="5913" max="5914" width="5.42578125" style="414" customWidth="1"/>
    <col min="5915" max="5915" width="3.85546875" style="414" customWidth="1"/>
    <col min="5916" max="5916" width="3.42578125" style="414" customWidth="1"/>
    <col min="5917" max="5917" width="3" style="414" customWidth="1"/>
    <col min="5918" max="5918" width="5.7109375" style="414" customWidth="1"/>
    <col min="5919" max="5919" width="5.28515625" style="414" customWidth="1"/>
    <col min="5920" max="5920" width="5" style="414" customWidth="1"/>
    <col min="5921" max="5921" width="0" style="414" hidden="1" customWidth="1"/>
    <col min="5922" max="5922" width="3.7109375" style="414" customWidth="1"/>
    <col min="5923" max="5923" width="5.7109375" style="414" customWidth="1"/>
    <col min="5924" max="5924" width="7.42578125" style="414" customWidth="1"/>
    <col min="5925" max="5925" width="7.85546875" style="414" customWidth="1"/>
    <col min="5926" max="5926" width="7.5703125" style="414" customWidth="1"/>
    <col min="5927" max="5927" width="12.5703125" style="414" customWidth="1"/>
    <col min="5928" max="5928" width="7.85546875" style="414" customWidth="1"/>
    <col min="5929" max="5929" width="11.28515625" style="414" bestFit="1" customWidth="1"/>
    <col min="5930" max="5930" width="5.7109375" style="414" customWidth="1"/>
    <col min="5931" max="5931" width="2.7109375" style="414" customWidth="1"/>
    <col min="5932" max="5932" width="11.42578125" style="414" customWidth="1"/>
    <col min="5933" max="5933" width="10.85546875" style="414" customWidth="1"/>
    <col min="5934" max="5934" width="5.140625" style="414" customWidth="1"/>
    <col min="5935" max="6144" width="9.140625" style="414"/>
    <col min="6145" max="6145" width="2.140625" style="414" customWidth="1"/>
    <col min="6146" max="6146" width="16.42578125" style="414" customWidth="1"/>
    <col min="6147" max="6147" width="3.85546875" style="414" customWidth="1"/>
    <col min="6148" max="6148" width="6.5703125" style="414" customWidth="1"/>
    <col min="6149" max="6149" width="3.28515625" style="414" customWidth="1"/>
    <col min="6150" max="6150" width="6.28515625" style="414" customWidth="1"/>
    <col min="6151" max="6151" width="5.140625" style="414" customWidth="1"/>
    <col min="6152" max="6152" width="4.5703125" style="414" customWidth="1"/>
    <col min="6153" max="6153" width="5.28515625" style="414" customWidth="1"/>
    <col min="6154" max="6154" width="3.28515625" style="414" customWidth="1"/>
    <col min="6155" max="6155" width="3.5703125" style="414" customWidth="1"/>
    <col min="6156" max="6156" width="3" style="414" customWidth="1"/>
    <col min="6157" max="6157" width="5.140625" style="414" customWidth="1"/>
    <col min="6158" max="6158" width="7.140625" style="414" customWidth="1"/>
    <col min="6159" max="6159" width="6.7109375" style="414" customWidth="1"/>
    <col min="6160" max="6160" width="6.28515625" style="414" customWidth="1"/>
    <col min="6161" max="6161" width="5.85546875" style="414" customWidth="1"/>
    <col min="6162" max="6162" width="6.5703125" style="414" customWidth="1"/>
    <col min="6163" max="6163" width="3.5703125" style="414" customWidth="1"/>
    <col min="6164" max="6164" width="6.28515625" style="414" customWidth="1"/>
    <col min="6165" max="6165" width="2.85546875" style="414" customWidth="1"/>
    <col min="6166" max="6166" width="5.7109375" style="414" customWidth="1"/>
    <col min="6167" max="6167" width="6.140625" style="414" customWidth="1"/>
    <col min="6168" max="6168" width="6" style="414" customWidth="1"/>
    <col min="6169" max="6170" width="5.42578125" style="414" customWidth="1"/>
    <col min="6171" max="6171" width="3.85546875" style="414" customWidth="1"/>
    <col min="6172" max="6172" width="3.42578125" style="414" customWidth="1"/>
    <col min="6173" max="6173" width="3" style="414" customWidth="1"/>
    <col min="6174" max="6174" width="5.7109375" style="414" customWidth="1"/>
    <col min="6175" max="6175" width="5.28515625" style="414" customWidth="1"/>
    <col min="6176" max="6176" width="5" style="414" customWidth="1"/>
    <col min="6177" max="6177" width="0" style="414" hidden="1" customWidth="1"/>
    <col min="6178" max="6178" width="3.7109375" style="414" customWidth="1"/>
    <col min="6179" max="6179" width="5.7109375" style="414" customWidth="1"/>
    <col min="6180" max="6180" width="7.42578125" style="414" customWidth="1"/>
    <col min="6181" max="6181" width="7.85546875" style="414" customWidth="1"/>
    <col min="6182" max="6182" width="7.5703125" style="414" customWidth="1"/>
    <col min="6183" max="6183" width="12.5703125" style="414" customWidth="1"/>
    <col min="6184" max="6184" width="7.85546875" style="414" customWidth="1"/>
    <col min="6185" max="6185" width="11.28515625" style="414" bestFit="1" customWidth="1"/>
    <col min="6186" max="6186" width="5.7109375" style="414" customWidth="1"/>
    <col min="6187" max="6187" width="2.7109375" style="414" customWidth="1"/>
    <col min="6188" max="6188" width="11.42578125" style="414" customWidth="1"/>
    <col min="6189" max="6189" width="10.85546875" style="414" customWidth="1"/>
    <col min="6190" max="6190" width="5.140625" style="414" customWidth="1"/>
    <col min="6191" max="6400" width="9.140625" style="414"/>
    <col min="6401" max="6401" width="2.140625" style="414" customWidth="1"/>
    <col min="6402" max="6402" width="16.42578125" style="414" customWidth="1"/>
    <col min="6403" max="6403" width="3.85546875" style="414" customWidth="1"/>
    <col min="6404" max="6404" width="6.5703125" style="414" customWidth="1"/>
    <col min="6405" max="6405" width="3.28515625" style="414" customWidth="1"/>
    <col min="6406" max="6406" width="6.28515625" style="414" customWidth="1"/>
    <col min="6407" max="6407" width="5.140625" style="414" customWidth="1"/>
    <col min="6408" max="6408" width="4.5703125" style="414" customWidth="1"/>
    <col min="6409" max="6409" width="5.28515625" style="414" customWidth="1"/>
    <col min="6410" max="6410" width="3.28515625" style="414" customWidth="1"/>
    <col min="6411" max="6411" width="3.5703125" style="414" customWidth="1"/>
    <col min="6412" max="6412" width="3" style="414" customWidth="1"/>
    <col min="6413" max="6413" width="5.140625" style="414" customWidth="1"/>
    <col min="6414" max="6414" width="7.140625" style="414" customWidth="1"/>
    <col min="6415" max="6415" width="6.7109375" style="414" customWidth="1"/>
    <col min="6416" max="6416" width="6.28515625" style="414" customWidth="1"/>
    <col min="6417" max="6417" width="5.85546875" style="414" customWidth="1"/>
    <col min="6418" max="6418" width="6.5703125" style="414" customWidth="1"/>
    <col min="6419" max="6419" width="3.5703125" style="414" customWidth="1"/>
    <col min="6420" max="6420" width="6.28515625" style="414" customWidth="1"/>
    <col min="6421" max="6421" width="2.85546875" style="414" customWidth="1"/>
    <col min="6422" max="6422" width="5.7109375" style="414" customWidth="1"/>
    <col min="6423" max="6423" width="6.140625" style="414" customWidth="1"/>
    <col min="6424" max="6424" width="6" style="414" customWidth="1"/>
    <col min="6425" max="6426" width="5.42578125" style="414" customWidth="1"/>
    <col min="6427" max="6427" width="3.85546875" style="414" customWidth="1"/>
    <col min="6428" max="6428" width="3.42578125" style="414" customWidth="1"/>
    <col min="6429" max="6429" width="3" style="414" customWidth="1"/>
    <col min="6430" max="6430" width="5.7109375" style="414" customWidth="1"/>
    <col min="6431" max="6431" width="5.28515625" style="414" customWidth="1"/>
    <col min="6432" max="6432" width="5" style="414" customWidth="1"/>
    <col min="6433" max="6433" width="0" style="414" hidden="1" customWidth="1"/>
    <col min="6434" max="6434" width="3.7109375" style="414" customWidth="1"/>
    <col min="6435" max="6435" width="5.7109375" style="414" customWidth="1"/>
    <col min="6436" max="6436" width="7.42578125" style="414" customWidth="1"/>
    <col min="6437" max="6437" width="7.85546875" style="414" customWidth="1"/>
    <col min="6438" max="6438" width="7.5703125" style="414" customWidth="1"/>
    <col min="6439" max="6439" width="12.5703125" style="414" customWidth="1"/>
    <col min="6440" max="6440" width="7.85546875" style="414" customWidth="1"/>
    <col min="6441" max="6441" width="11.28515625" style="414" bestFit="1" customWidth="1"/>
    <col min="6442" max="6442" width="5.7109375" style="414" customWidth="1"/>
    <col min="6443" max="6443" width="2.7109375" style="414" customWidth="1"/>
    <col min="6444" max="6444" width="11.42578125" style="414" customWidth="1"/>
    <col min="6445" max="6445" width="10.85546875" style="414" customWidth="1"/>
    <col min="6446" max="6446" width="5.140625" style="414" customWidth="1"/>
    <col min="6447" max="6656" width="9.140625" style="414"/>
    <col min="6657" max="6657" width="2.140625" style="414" customWidth="1"/>
    <col min="6658" max="6658" width="16.42578125" style="414" customWidth="1"/>
    <col min="6659" max="6659" width="3.85546875" style="414" customWidth="1"/>
    <col min="6660" max="6660" width="6.5703125" style="414" customWidth="1"/>
    <col min="6661" max="6661" width="3.28515625" style="414" customWidth="1"/>
    <col min="6662" max="6662" width="6.28515625" style="414" customWidth="1"/>
    <col min="6663" max="6663" width="5.140625" style="414" customWidth="1"/>
    <col min="6664" max="6664" width="4.5703125" style="414" customWidth="1"/>
    <col min="6665" max="6665" width="5.28515625" style="414" customWidth="1"/>
    <col min="6666" max="6666" width="3.28515625" style="414" customWidth="1"/>
    <col min="6667" max="6667" width="3.5703125" style="414" customWidth="1"/>
    <col min="6668" max="6668" width="3" style="414" customWidth="1"/>
    <col min="6669" max="6669" width="5.140625" style="414" customWidth="1"/>
    <col min="6670" max="6670" width="7.140625" style="414" customWidth="1"/>
    <col min="6671" max="6671" width="6.7109375" style="414" customWidth="1"/>
    <col min="6672" max="6672" width="6.28515625" style="414" customWidth="1"/>
    <col min="6673" max="6673" width="5.85546875" style="414" customWidth="1"/>
    <col min="6674" max="6674" width="6.5703125" style="414" customWidth="1"/>
    <col min="6675" max="6675" width="3.5703125" style="414" customWidth="1"/>
    <col min="6676" max="6676" width="6.28515625" style="414" customWidth="1"/>
    <col min="6677" max="6677" width="2.85546875" style="414" customWidth="1"/>
    <col min="6678" max="6678" width="5.7109375" style="414" customWidth="1"/>
    <col min="6679" max="6679" width="6.140625" style="414" customWidth="1"/>
    <col min="6680" max="6680" width="6" style="414" customWidth="1"/>
    <col min="6681" max="6682" width="5.42578125" style="414" customWidth="1"/>
    <col min="6683" max="6683" width="3.85546875" style="414" customWidth="1"/>
    <col min="6684" max="6684" width="3.42578125" style="414" customWidth="1"/>
    <col min="6685" max="6685" width="3" style="414" customWidth="1"/>
    <col min="6686" max="6686" width="5.7109375" style="414" customWidth="1"/>
    <col min="6687" max="6687" width="5.28515625" style="414" customWidth="1"/>
    <col min="6688" max="6688" width="5" style="414" customWidth="1"/>
    <col min="6689" max="6689" width="0" style="414" hidden="1" customWidth="1"/>
    <col min="6690" max="6690" width="3.7109375" style="414" customWidth="1"/>
    <col min="6691" max="6691" width="5.7109375" style="414" customWidth="1"/>
    <col min="6692" max="6692" width="7.42578125" style="414" customWidth="1"/>
    <col min="6693" max="6693" width="7.85546875" style="414" customWidth="1"/>
    <col min="6694" max="6694" width="7.5703125" style="414" customWidth="1"/>
    <col min="6695" max="6695" width="12.5703125" style="414" customWidth="1"/>
    <col min="6696" max="6696" width="7.85546875" style="414" customWidth="1"/>
    <col min="6697" max="6697" width="11.28515625" style="414" bestFit="1" customWidth="1"/>
    <col min="6698" max="6698" width="5.7109375" style="414" customWidth="1"/>
    <col min="6699" max="6699" width="2.7109375" style="414" customWidth="1"/>
    <col min="6700" max="6700" width="11.42578125" style="414" customWidth="1"/>
    <col min="6701" max="6701" width="10.85546875" style="414" customWidth="1"/>
    <col min="6702" max="6702" width="5.140625" style="414" customWidth="1"/>
    <col min="6703" max="6912" width="9.140625" style="414"/>
    <col min="6913" max="6913" width="2.140625" style="414" customWidth="1"/>
    <col min="6914" max="6914" width="16.42578125" style="414" customWidth="1"/>
    <col min="6915" max="6915" width="3.85546875" style="414" customWidth="1"/>
    <col min="6916" max="6916" width="6.5703125" style="414" customWidth="1"/>
    <col min="6917" max="6917" width="3.28515625" style="414" customWidth="1"/>
    <col min="6918" max="6918" width="6.28515625" style="414" customWidth="1"/>
    <col min="6919" max="6919" width="5.140625" style="414" customWidth="1"/>
    <col min="6920" max="6920" width="4.5703125" style="414" customWidth="1"/>
    <col min="6921" max="6921" width="5.28515625" style="414" customWidth="1"/>
    <col min="6922" max="6922" width="3.28515625" style="414" customWidth="1"/>
    <col min="6923" max="6923" width="3.5703125" style="414" customWidth="1"/>
    <col min="6924" max="6924" width="3" style="414" customWidth="1"/>
    <col min="6925" max="6925" width="5.140625" style="414" customWidth="1"/>
    <col min="6926" max="6926" width="7.140625" style="414" customWidth="1"/>
    <col min="6927" max="6927" width="6.7109375" style="414" customWidth="1"/>
    <col min="6928" max="6928" width="6.28515625" style="414" customWidth="1"/>
    <col min="6929" max="6929" width="5.85546875" style="414" customWidth="1"/>
    <col min="6930" max="6930" width="6.5703125" style="414" customWidth="1"/>
    <col min="6931" max="6931" width="3.5703125" style="414" customWidth="1"/>
    <col min="6932" max="6932" width="6.28515625" style="414" customWidth="1"/>
    <col min="6933" max="6933" width="2.85546875" style="414" customWidth="1"/>
    <col min="6934" max="6934" width="5.7109375" style="414" customWidth="1"/>
    <col min="6935" max="6935" width="6.140625" style="414" customWidth="1"/>
    <col min="6936" max="6936" width="6" style="414" customWidth="1"/>
    <col min="6937" max="6938" width="5.42578125" style="414" customWidth="1"/>
    <col min="6939" max="6939" width="3.85546875" style="414" customWidth="1"/>
    <col min="6940" max="6940" width="3.42578125" style="414" customWidth="1"/>
    <col min="6941" max="6941" width="3" style="414" customWidth="1"/>
    <col min="6942" max="6942" width="5.7109375" style="414" customWidth="1"/>
    <col min="6943" max="6943" width="5.28515625" style="414" customWidth="1"/>
    <col min="6944" max="6944" width="5" style="414" customWidth="1"/>
    <col min="6945" max="6945" width="0" style="414" hidden="1" customWidth="1"/>
    <col min="6946" max="6946" width="3.7109375" style="414" customWidth="1"/>
    <col min="6947" max="6947" width="5.7109375" style="414" customWidth="1"/>
    <col min="6948" max="6948" width="7.42578125" style="414" customWidth="1"/>
    <col min="6949" max="6949" width="7.85546875" style="414" customWidth="1"/>
    <col min="6950" max="6950" width="7.5703125" style="414" customWidth="1"/>
    <col min="6951" max="6951" width="12.5703125" style="414" customWidth="1"/>
    <col min="6952" max="6952" width="7.85546875" style="414" customWidth="1"/>
    <col min="6953" max="6953" width="11.28515625" style="414" bestFit="1" customWidth="1"/>
    <col min="6954" max="6954" width="5.7109375" style="414" customWidth="1"/>
    <col min="6955" max="6955" width="2.7109375" style="414" customWidth="1"/>
    <col min="6956" max="6956" width="11.42578125" style="414" customWidth="1"/>
    <col min="6957" max="6957" width="10.85546875" style="414" customWidth="1"/>
    <col min="6958" max="6958" width="5.140625" style="414" customWidth="1"/>
    <col min="6959" max="7168" width="9.140625" style="414"/>
    <col min="7169" max="7169" width="2.140625" style="414" customWidth="1"/>
    <col min="7170" max="7170" width="16.42578125" style="414" customWidth="1"/>
    <col min="7171" max="7171" width="3.85546875" style="414" customWidth="1"/>
    <col min="7172" max="7172" width="6.5703125" style="414" customWidth="1"/>
    <col min="7173" max="7173" width="3.28515625" style="414" customWidth="1"/>
    <col min="7174" max="7174" width="6.28515625" style="414" customWidth="1"/>
    <col min="7175" max="7175" width="5.140625" style="414" customWidth="1"/>
    <col min="7176" max="7176" width="4.5703125" style="414" customWidth="1"/>
    <col min="7177" max="7177" width="5.28515625" style="414" customWidth="1"/>
    <col min="7178" max="7178" width="3.28515625" style="414" customWidth="1"/>
    <col min="7179" max="7179" width="3.5703125" style="414" customWidth="1"/>
    <col min="7180" max="7180" width="3" style="414" customWidth="1"/>
    <col min="7181" max="7181" width="5.140625" style="414" customWidth="1"/>
    <col min="7182" max="7182" width="7.140625" style="414" customWidth="1"/>
    <col min="7183" max="7183" width="6.7109375" style="414" customWidth="1"/>
    <col min="7184" max="7184" width="6.28515625" style="414" customWidth="1"/>
    <col min="7185" max="7185" width="5.85546875" style="414" customWidth="1"/>
    <col min="7186" max="7186" width="6.5703125" style="414" customWidth="1"/>
    <col min="7187" max="7187" width="3.5703125" style="414" customWidth="1"/>
    <col min="7188" max="7188" width="6.28515625" style="414" customWidth="1"/>
    <col min="7189" max="7189" width="2.85546875" style="414" customWidth="1"/>
    <col min="7190" max="7190" width="5.7109375" style="414" customWidth="1"/>
    <col min="7191" max="7191" width="6.140625" style="414" customWidth="1"/>
    <col min="7192" max="7192" width="6" style="414" customWidth="1"/>
    <col min="7193" max="7194" width="5.42578125" style="414" customWidth="1"/>
    <col min="7195" max="7195" width="3.85546875" style="414" customWidth="1"/>
    <col min="7196" max="7196" width="3.42578125" style="414" customWidth="1"/>
    <col min="7197" max="7197" width="3" style="414" customWidth="1"/>
    <col min="7198" max="7198" width="5.7109375" style="414" customWidth="1"/>
    <col min="7199" max="7199" width="5.28515625" style="414" customWidth="1"/>
    <col min="7200" max="7200" width="5" style="414" customWidth="1"/>
    <col min="7201" max="7201" width="0" style="414" hidden="1" customWidth="1"/>
    <col min="7202" max="7202" width="3.7109375" style="414" customWidth="1"/>
    <col min="7203" max="7203" width="5.7109375" style="414" customWidth="1"/>
    <col min="7204" max="7204" width="7.42578125" style="414" customWidth="1"/>
    <col min="7205" max="7205" width="7.85546875" style="414" customWidth="1"/>
    <col min="7206" max="7206" width="7.5703125" style="414" customWidth="1"/>
    <col min="7207" max="7207" width="12.5703125" style="414" customWidth="1"/>
    <col min="7208" max="7208" width="7.85546875" style="414" customWidth="1"/>
    <col min="7209" max="7209" width="11.28515625" style="414" bestFit="1" customWidth="1"/>
    <col min="7210" max="7210" width="5.7109375" style="414" customWidth="1"/>
    <col min="7211" max="7211" width="2.7109375" style="414" customWidth="1"/>
    <col min="7212" max="7212" width="11.42578125" style="414" customWidth="1"/>
    <col min="7213" max="7213" width="10.85546875" style="414" customWidth="1"/>
    <col min="7214" max="7214" width="5.140625" style="414" customWidth="1"/>
    <col min="7215" max="7424" width="9.140625" style="414"/>
    <col min="7425" max="7425" width="2.140625" style="414" customWidth="1"/>
    <col min="7426" max="7426" width="16.42578125" style="414" customWidth="1"/>
    <col min="7427" max="7427" width="3.85546875" style="414" customWidth="1"/>
    <col min="7428" max="7428" width="6.5703125" style="414" customWidth="1"/>
    <col min="7429" max="7429" width="3.28515625" style="414" customWidth="1"/>
    <col min="7430" max="7430" width="6.28515625" style="414" customWidth="1"/>
    <col min="7431" max="7431" width="5.140625" style="414" customWidth="1"/>
    <col min="7432" max="7432" width="4.5703125" style="414" customWidth="1"/>
    <col min="7433" max="7433" width="5.28515625" style="414" customWidth="1"/>
    <col min="7434" max="7434" width="3.28515625" style="414" customWidth="1"/>
    <col min="7435" max="7435" width="3.5703125" style="414" customWidth="1"/>
    <col min="7436" max="7436" width="3" style="414" customWidth="1"/>
    <col min="7437" max="7437" width="5.140625" style="414" customWidth="1"/>
    <col min="7438" max="7438" width="7.140625" style="414" customWidth="1"/>
    <col min="7439" max="7439" width="6.7109375" style="414" customWidth="1"/>
    <col min="7440" max="7440" width="6.28515625" style="414" customWidth="1"/>
    <col min="7441" max="7441" width="5.85546875" style="414" customWidth="1"/>
    <col min="7442" max="7442" width="6.5703125" style="414" customWidth="1"/>
    <col min="7443" max="7443" width="3.5703125" style="414" customWidth="1"/>
    <col min="7444" max="7444" width="6.28515625" style="414" customWidth="1"/>
    <col min="7445" max="7445" width="2.85546875" style="414" customWidth="1"/>
    <col min="7446" max="7446" width="5.7109375" style="414" customWidth="1"/>
    <col min="7447" max="7447" width="6.140625" style="414" customWidth="1"/>
    <col min="7448" max="7448" width="6" style="414" customWidth="1"/>
    <col min="7449" max="7450" width="5.42578125" style="414" customWidth="1"/>
    <col min="7451" max="7451" width="3.85546875" style="414" customWidth="1"/>
    <col min="7452" max="7452" width="3.42578125" style="414" customWidth="1"/>
    <col min="7453" max="7453" width="3" style="414" customWidth="1"/>
    <col min="7454" max="7454" width="5.7109375" style="414" customWidth="1"/>
    <col min="7455" max="7455" width="5.28515625" style="414" customWidth="1"/>
    <col min="7456" max="7456" width="5" style="414" customWidth="1"/>
    <col min="7457" max="7457" width="0" style="414" hidden="1" customWidth="1"/>
    <col min="7458" max="7458" width="3.7109375" style="414" customWidth="1"/>
    <col min="7459" max="7459" width="5.7109375" style="414" customWidth="1"/>
    <col min="7460" max="7460" width="7.42578125" style="414" customWidth="1"/>
    <col min="7461" max="7461" width="7.85546875" style="414" customWidth="1"/>
    <col min="7462" max="7462" width="7.5703125" style="414" customWidth="1"/>
    <col min="7463" max="7463" width="12.5703125" style="414" customWidth="1"/>
    <col min="7464" max="7464" width="7.85546875" style="414" customWidth="1"/>
    <col min="7465" max="7465" width="11.28515625" style="414" bestFit="1" customWidth="1"/>
    <col min="7466" max="7466" width="5.7109375" style="414" customWidth="1"/>
    <col min="7467" max="7467" width="2.7109375" style="414" customWidth="1"/>
    <col min="7468" max="7468" width="11.42578125" style="414" customWidth="1"/>
    <col min="7469" max="7469" width="10.85546875" style="414" customWidth="1"/>
    <col min="7470" max="7470" width="5.140625" style="414" customWidth="1"/>
    <col min="7471" max="7680" width="9.140625" style="414"/>
    <col min="7681" max="7681" width="2.140625" style="414" customWidth="1"/>
    <col min="7682" max="7682" width="16.42578125" style="414" customWidth="1"/>
    <col min="7683" max="7683" width="3.85546875" style="414" customWidth="1"/>
    <col min="7684" max="7684" width="6.5703125" style="414" customWidth="1"/>
    <col min="7685" max="7685" width="3.28515625" style="414" customWidth="1"/>
    <col min="7686" max="7686" width="6.28515625" style="414" customWidth="1"/>
    <col min="7687" max="7687" width="5.140625" style="414" customWidth="1"/>
    <col min="7688" max="7688" width="4.5703125" style="414" customWidth="1"/>
    <col min="7689" max="7689" width="5.28515625" style="414" customWidth="1"/>
    <col min="7690" max="7690" width="3.28515625" style="414" customWidth="1"/>
    <col min="7691" max="7691" width="3.5703125" style="414" customWidth="1"/>
    <col min="7692" max="7692" width="3" style="414" customWidth="1"/>
    <col min="7693" max="7693" width="5.140625" style="414" customWidth="1"/>
    <col min="7694" max="7694" width="7.140625" style="414" customWidth="1"/>
    <col min="7695" max="7695" width="6.7109375" style="414" customWidth="1"/>
    <col min="7696" max="7696" width="6.28515625" style="414" customWidth="1"/>
    <col min="7697" max="7697" width="5.85546875" style="414" customWidth="1"/>
    <col min="7698" max="7698" width="6.5703125" style="414" customWidth="1"/>
    <col min="7699" max="7699" width="3.5703125" style="414" customWidth="1"/>
    <col min="7700" max="7700" width="6.28515625" style="414" customWidth="1"/>
    <col min="7701" max="7701" width="2.85546875" style="414" customWidth="1"/>
    <col min="7702" max="7702" width="5.7109375" style="414" customWidth="1"/>
    <col min="7703" max="7703" width="6.140625" style="414" customWidth="1"/>
    <col min="7704" max="7704" width="6" style="414" customWidth="1"/>
    <col min="7705" max="7706" width="5.42578125" style="414" customWidth="1"/>
    <col min="7707" max="7707" width="3.85546875" style="414" customWidth="1"/>
    <col min="7708" max="7708" width="3.42578125" style="414" customWidth="1"/>
    <col min="7709" max="7709" width="3" style="414" customWidth="1"/>
    <col min="7710" max="7710" width="5.7109375" style="414" customWidth="1"/>
    <col min="7711" max="7711" width="5.28515625" style="414" customWidth="1"/>
    <col min="7712" max="7712" width="5" style="414" customWidth="1"/>
    <col min="7713" max="7713" width="0" style="414" hidden="1" customWidth="1"/>
    <col min="7714" max="7714" width="3.7109375" style="414" customWidth="1"/>
    <col min="7715" max="7715" width="5.7109375" style="414" customWidth="1"/>
    <col min="7716" max="7716" width="7.42578125" style="414" customWidth="1"/>
    <col min="7717" max="7717" width="7.85546875" style="414" customWidth="1"/>
    <col min="7718" max="7718" width="7.5703125" style="414" customWidth="1"/>
    <col min="7719" max="7719" width="12.5703125" style="414" customWidth="1"/>
    <col min="7720" max="7720" width="7.85546875" style="414" customWidth="1"/>
    <col min="7721" max="7721" width="11.28515625" style="414" bestFit="1" customWidth="1"/>
    <col min="7722" max="7722" width="5.7109375" style="414" customWidth="1"/>
    <col min="7723" max="7723" width="2.7109375" style="414" customWidth="1"/>
    <col min="7724" max="7724" width="11.42578125" style="414" customWidth="1"/>
    <col min="7725" max="7725" width="10.85546875" style="414" customWidth="1"/>
    <col min="7726" max="7726" width="5.140625" style="414" customWidth="1"/>
    <col min="7727" max="7936" width="9.140625" style="414"/>
    <col min="7937" max="7937" width="2.140625" style="414" customWidth="1"/>
    <col min="7938" max="7938" width="16.42578125" style="414" customWidth="1"/>
    <col min="7939" max="7939" width="3.85546875" style="414" customWidth="1"/>
    <col min="7940" max="7940" width="6.5703125" style="414" customWidth="1"/>
    <col min="7941" max="7941" width="3.28515625" style="414" customWidth="1"/>
    <col min="7942" max="7942" width="6.28515625" style="414" customWidth="1"/>
    <col min="7943" max="7943" width="5.140625" style="414" customWidth="1"/>
    <col min="7944" max="7944" width="4.5703125" style="414" customWidth="1"/>
    <col min="7945" max="7945" width="5.28515625" style="414" customWidth="1"/>
    <col min="7946" max="7946" width="3.28515625" style="414" customWidth="1"/>
    <col min="7947" max="7947" width="3.5703125" style="414" customWidth="1"/>
    <col min="7948" max="7948" width="3" style="414" customWidth="1"/>
    <col min="7949" max="7949" width="5.140625" style="414" customWidth="1"/>
    <col min="7950" max="7950" width="7.140625" style="414" customWidth="1"/>
    <col min="7951" max="7951" width="6.7109375" style="414" customWidth="1"/>
    <col min="7952" max="7952" width="6.28515625" style="414" customWidth="1"/>
    <col min="7953" max="7953" width="5.85546875" style="414" customWidth="1"/>
    <col min="7954" max="7954" width="6.5703125" style="414" customWidth="1"/>
    <col min="7955" max="7955" width="3.5703125" style="414" customWidth="1"/>
    <col min="7956" max="7956" width="6.28515625" style="414" customWidth="1"/>
    <col min="7957" max="7957" width="2.85546875" style="414" customWidth="1"/>
    <col min="7958" max="7958" width="5.7109375" style="414" customWidth="1"/>
    <col min="7959" max="7959" width="6.140625" style="414" customWidth="1"/>
    <col min="7960" max="7960" width="6" style="414" customWidth="1"/>
    <col min="7961" max="7962" width="5.42578125" style="414" customWidth="1"/>
    <col min="7963" max="7963" width="3.85546875" style="414" customWidth="1"/>
    <col min="7964" max="7964" width="3.42578125" style="414" customWidth="1"/>
    <col min="7965" max="7965" width="3" style="414" customWidth="1"/>
    <col min="7966" max="7966" width="5.7109375" style="414" customWidth="1"/>
    <col min="7967" max="7967" width="5.28515625" style="414" customWidth="1"/>
    <col min="7968" max="7968" width="5" style="414" customWidth="1"/>
    <col min="7969" max="7969" width="0" style="414" hidden="1" customWidth="1"/>
    <col min="7970" max="7970" width="3.7109375" style="414" customWidth="1"/>
    <col min="7971" max="7971" width="5.7109375" style="414" customWidth="1"/>
    <col min="7972" max="7972" width="7.42578125" style="414" customWidth="1"/>
    <col min="7973" max="7973" width="7.85546875" style="414" customWidth="1"/>
    <col min="7974" max="7974" width="7.5703125" style="414" customWidth="1"/>
    <col min="7975" max="7975" width="12.5703125" style="414" customWidth="1"/>
    <col min="7976" max="7976" width="7.85546875" style="414" customWidth="1"/>
    <col min="7977" max="7977" width="11.28515625" style="414" bestFit="1" customWidth="1"/>
    <col min="7978" max="7978" width="5.7109375" style="414" customWidth="1"/>
    <col min="7979" max="7979" width="2.7109375" style="414" customWidth="1"/>
    <col min="7980" max="7980" width="11.42578125" style="414" customWidth="1"/>
    <col min="7981" max="7981" width="10.85546875" style="414" customWidth="1"/>
    <col min="7982" max="7982" width="5.140625" style="414" customWidth="1"/>
    <col min="7983" max="8192" width="9.140625" style="414"/>
    <col min="8193" max="8193" width="2.140625" style="414" customWidth="1"/>
    <col min="8194" max="8194" width="16.42578125" style="414" customWidth="1"/>
    <col min="8195" max="8195" width="3.85546875" style="414" customWidth="1"/>
    <col min="8196" max="8196" width="6.5703125" style="414" customWidth="1"/>
    <col min="8197" max="8197" width="3.28515625" style="414" customWidth="1"/>
    <col min="8198" max="8198" width="6.28515625" style="414" customWidth="1"/>
    <col min="8199" max="8199" width="5.140625" style="414" customWidth="1"/>
    <col min="8200" max="8200" width="4.5703125" style="414" customWidth="1"/>
    <col min="8201" max="8201" width="5.28515625" style="414" customWidth="1"/>
    <col min="8202" max="8202" width="3.28515625" style="414" customWidth="1"/>
    <col min="8203" max="8203" width="3.5703125" style="414" customWidth="1"/>
    <col min="8204" max="8204" width="3" style="414" customWidth="1"/>
    <col min="8205" max="8205" width="5.140625" style="414" customWidth="1"/>
    <col min="8206" max="8206" width="7.140625" style="414" customWidth="1"/>
    <col min="8207" max="8207" width="6.7109375" style="414" customWidth="1"/>
    <col min="8208" max="8208" width="6.28515625" style="414" customWidth="1"/>
    <col min="8209" max="8209" width="5.85546875" style="414" customWidth="1"/>
    <col min="8210" max="8210" width="6.5703125" style="414" customWidth="1"/>
    <col min="8211" max="8211" width="3.5703125" style="414" customWidth="1"/>
    <col min="8212" max="8212" width="6.28515625" style="414" customWidth="1"/>
    <col min="8213" max="8213" width="2.85546875" style="414" customWidth="1"/>
    <col min="8214" max="8214" width="5.7109375" style="414" customWidth="1"/>
    <col min="8215" max="8215" width="6.140625" style="414" customWidth="1"/>
    <col min="8216" max="8216" width="6" style="414" customWidth="1"/>
    <col min="8217" max="8218" width="5.42578125" style="414" customWidth="1"/>
    <col min="8219" max="8219" width="3.85546875" style="414" customWidth="1"/>
    <col min="8220" max="8220" width="3.42578125" style="414" customWidth="1"/>
    <col min="8221" max="8221" width="3" style="414" customWidth="1"/>
    <col min="8222" max="8222" width="5.7109375" style="414" customWidth="1"/>
    <col min="8223" max="8223" width="5.28515625" style="414" customWidth="1"/>
    <col min="8224" max="8224" width="5" style="414" customWidth="1"/>
    <col min="8225" max="8225" width="0" style="414" hidden="1" customWidth="1"/>
    <col min="8226" max="8226" width="3.7109375" style="414" customWidth="1"/>
    <col min="8227" max="8227" width="5.7109375" style="414" customWidth="1"/>
    <col min="8228" max="8228" width="7.42578125" style="414" customWidth="1"/>
    <col min="8229" max="8229" width="7.85546875" style="414" customWidth="1"/>
    <col min="8230" max="8230" width="7.5703125" style="414" customWidth="1"/>
    <col min="8231" max="8231" width="12.5703125" style="414" customWidth="1"/>
    <col min="8232" max="8232" width="7.85546875" style="414" customWidth="1"/>
    <col min="8233" max="8233" width="11.28515625" style="414" bestFit="1" customWidth="1"/>
    <col min="8234" max="8234" width="5.7109375" style="414" customWidth="1"/>
    <col min="8235" max="8235" width="2.7109375" style="414" customWidth="1"/>
    <col min="8236" max="8236" width="11.42578125" style="414" customWidth="1"/>
    <col min="8237" max="8237" width="10.85546875" style="414" customWidth="1"/>
    <col min="8238" max="8238" width="5.140625" style="414" customWidth="1"/>
    <col min="8239" max="8448" width="9.140625" style="414"/>
    <col min="8449" max="8449" width="2.140625" style="414" customWidth="1"/>
    <col min="8450" max="8450" width="16.42578125" style="414" customWidth="1"/>
    <col min="8451" max="8451" width="3.85546875" style="414" customWidth="1"/>
    <col min="8452" max="8452" width="6.5703125" style="414" customWidth="1"/>
    <col min="8453" max="8453" width="3.28515625" style="414" customWidth="1"/>
    <col min="8454" max="8454" width="6.28515625" style="414" customWidth="1"/>
    <col min="8455" max="8455" width="5.140625" style="414" customWidth="1"/>
    <col min="8456" max="8456" width="4.5703125" style="414" customWidth="1"/>
    <col min="8457" max="8457" width="5.28515625" style="414" customWidth="1"/>
    <col min="8458" max="8458" width="3.28515625" style="414" customWidth="1"/>
    <col min="8459" max="8459" width="3.5703125" style="414" customWidth="1"/>
    <col min="8460" max="8460" width="3" style="414" customWidth="1"/>
    <col min="8461" max="8461" width="5.140625" style="414" customWidth="1"/>
    <col min="8462" max="8462" width="7.140625" style="414" customWidth="1"/>
    <col min="8463" max="8463" width="6.7109375" style="414" customWidth="1"/>
    <col min="8464" max="8464" width="6.28515625" style="414" customWidth="1"/>
    <col min="8465" max="8465" width="5.85546875" style="414" customWidth="1"/>
    <col min="8466" max="8466" width="6.5703125" style="414" customWidth="1"/>
    <col min="8467" max="8467" width="3.5703125" style="414" customWidth="1"/>
    <col min="8468" max="8468" width="6.28515625" style="414" customWidth="1"/>
    <col min="8469" max="8469" width="2.85546875" style="414" customWidth="1"/>
    <col min="8470" max="8470" width="5.7109375" style="414" customWidth="1"/>
    <col min="8471" max="8471" width="6.140625" style="414" customWidth="1"/>
    <col min="8472" max="8472" width="6" style="414" customWidth="1"/>
    <col min="8473" max="8474" width="5.42578125" style="414" customWidth="1"/>
    <col min="8475" max="8475" width="3.85546875" style="414" customWidth="1"/>
    <col min="8476" max="8476" width="3.42578125" style="414" customWidth="1"/>
    <col min="8477" max="8477" width="3" style="414" customWidth="1"/>
    <col min="8478" max="8478" width="5.7109375" style="414" customWidth="1"/>
    <col min="8479" max="8479" width="5.28515625" style="414" customWidth="1"/>
    <col min="8480" max="8480" width="5" style="414" customWidth="1"/>
    <col min="8481" max="8481" width="0" style="414" hidden="1" customWidth="1"/>
    <col min="8482" max="8482" width="3.7109375" style="414" customWidth="1"/>
    <col min="8483" max="8483" width="5.7109375" style="414" customWidth="1"/>
    <col min="8484" max="8484" width="7.42578125" style="414" customWidth="1"/>
    <col min="8485" max="8485" width="7.85546875" style="414" customWidth="1"/>
    <col min="8486" max="8486" width="7.5703125" style="414" customWidth="1"/>
    <col min="8487" max="8487" width="12.5703125" style="414" customWidth="1"/>
    <col min="8488" max="8488" width="7.85546875" style="414" customWidth="1"/>
    <col min="8489" max="8489" width="11.28515625" style="414" bestFit="1" customWidth="1"/>
    <col min="8490" max="8490" width="5.7109375" style="414" customWidth="1"/>
    <col min="8491" max="8491" width="2.7109375" style="414" customWidth="1"/>
    <col min="8492" max="8492" width="11.42578125" style="414" customWidth="1"/>
    <col min="8493" max="8493" width="10.85546875" style="414" customWidth="1"/>
    <col min="8494" max="8494" width="5.140625" style="414" customWidth="1"/>
    <col min="8495" max="8704" width="9.140625" style="414"/>
    <col min="8705" max="8705" width="2.140625" style="414" customWidth="1"/>
    <col min="8706" max="8706" width="16.42578125" style="414" customWidth="1"/>
    <col min="8707" max="8707" width="3.85546875" style="414" customWidth="1"/>
    <col min="8708" max="8708" width="6.5703125" style="414" customWidth="1"/>
    <col min="8709" max="8709" width="3.28515625" style="414" customWidth="1"/>
    <col min="8710" max="8710" width="6.28515625" style="414" customWidth="1"/>
    <col min="8711" max="8711" width="5.140625" style="414" customWidth="1"/>
    <col min="8712" max="8712" width="4.5703125" style="414" customWidth="1"/>
    <col min="8713" max="8713" width="5.28515625" style="414" customWidth="1"/>
    <col min="8714" max="8714" width="3.28515625" style="414" customWidth="1"/>
    <col min="8715" max="8715" width="3.5703125" style="414" customWidth="1"/>
    <col min="8716" max="8716" width="3" style="414" customWidth="1"/>
    <col min="8717" max="8717" width="5.140625" style="414" customWidth="1"/>
    <col min="8718" max="8718" width="7.140625" style="414" customWidth="1"/>
    <col min="8719" max="8719" width="6.7109375" style="414" customWidth="1"/>
    <col min="8720" max="8720" width="6.28515625" style="414" customWidth="1"/>
    <col min="8721" max="8721" width="5.85546875" style="414" customWidth="1"/>
    <col min="8722" max="8722" width="6.5703125" style="414" customWidth="1"/>
    <col min="8723" max="8723" width="3.5703125" style="414" customWidth="1"/>
    <col min="8724" max="8724" width="6.28515625" style="414" customWidth="1"/>
    <col min="8725" max="8725" width="2.85546875" style="414" customWidth="1"/>
    <col min="8726" max="8726" width="5.7109375" style="414" customWidth="1"/>
    <col min="8727" max="8727" width="6.140625" style="414" customWidth="1"/>
    <col min="8728" max="8728" width="6" style="414" customWidth="1"/>
    <col min="8729" max="8730" width="5.42578125" style="414" customWidth="1"/>
    <col min="8731" max="8731" width="3.85546875" style="414" customWidth="1"/>
    <col min="8732" max="8732" width="3.42578125" style="414" customWidth="1"/>
    <col min="8733" max="8733" width="3" style="414" customWidth="1"/>
    <col min="8734" max="8734" width="5.7109375" style="414" customWidth="1"/>
    <col min="8735" max="8735" width="5.28515625" style="414" customWidth="1"/>
    <col min="8736" max="8736" width="5" style="414" customWidth="1"/>
    <col min="8737" max="8737" width="0" style="414" hidden="1" customWidth="1"/>
    <col min="8738" max="8738" width="3.7109375" style="414" customWidth="1"/>
    <col min="8739" max="8739" width="5.7109375" style="414" customWidth="1"/>
    <col min="8740" max="8740" width="7.42578125" style="414" customWidth="1"/>
    <col min="8741" max="8741" width="7.85546875" style="414" customWidth="1"/>
    <col min="8742" max="8742" width="7.5703125" style="414" customWidth="1"/>
    <col min="8743" max="8743" width="12.5703125" style="414" customWidth="1"/>
    <col min="8744" max="8744" width="7.85546875" style="414" customWidth="1"/>
    <col min="8745" max="8745" width="11.28515625" style="414" bestFit="1" customWidth="1"/>
    <col min="8746" max="8746" width="5.7109375" style="414" customWidth="1"/>
    <col min="8747" max="8747" width="2.7109375" style="414" customWidth="1"/>
    <col min="8748" max="8748" width="11.42578125" style="414" customWidth="1"/>
    <col min="8749" max="8749" width="10.85546875" style="414" customWidth="1"/>
    <col min="8750" max="8750" width="5.140625" style="414" customWidth="1"/>
    <col min="8751" max="8960" width="9.140625" style="414"/>
    <col min="8961" max="8961" width="2.140625" style="414" customWidth="1"/>
    <col min="8962" max="8962" width="16.42578125" style="414" customWidth="1"/>
    <col min="8963" max="8963" width="3.85546875" style="414" customWidth="1"/>
    <col min="8964" max="8964" width="6.5703125" style="414" customWidth="1"/>
    <col min="8965" max="8965" width="3.28515625" style="414" customWidth="1"/>
    <col min="8966" max="8966" width="6.28515625" style="414" customWidth="1"/>
    <col min="8967" max="8967" width="5.140625" style="414" customWidth="1"/>
    <col min="8968" max="8968" width="4.5703125" style="414" customWidth="1"/>
    <col min="8969" max="8969" width="5.28515625" style="414" customWidth="1"/>
    <col min="8970" max="8970" width="3.28515625" style="414" customWidth="1"/>
    <col min="8971" max="8971" width="3.5703125" style="414" customWidth="1"/>
    <col min="8972" max="8972" width="3" style="414" customWidth="1"/>
    <col min="8973" max="8973" width="5.140625" style="414" customWidth="1"/>
    <col min="8974" max="8974" width="7.140625" style="414" customWidth="1"/>
    <col min="8975" max="8975" width="6.7109375" style="414" customWidth="1"/>
    <col min="8976" max="8976" width="6.28515625" style="414" customWidth="1"/>
    <col min="8977" max="8977" width="5.85546875" style="414" customWidth="1"/>
    <col min="8978" max="8978" width="6.5703125" style="414" customWidth="1"/>
    <col min="8979" max="8979" width="3.5703125" style="414" customWidth="1"/>
    <col min="8980" max="8980" width="6.28515625" style="414" customWidth="1"/>
    <col min="8981" max="8981" width="2.85546875" style="414" customWidth="1"/>
    <col min="8982" max="8982" width="5.7109375" style="414" customWidth="1"/>
    <col min="8983" max="8983" width="6.140625" style="414" customWidth="1"/>
    <col min="8984" max="8984" width="6" style="414" customWidth="1"/>
    <col min="8985" max="8986" width="5.42578125" style="414" customWidth="1"/>
    <col min="8987" max="8987" width="3.85546875" style="414" customWidth="1"/>
    <col min="8988" max="8988" width="3.42578125" style="414" customWidth="1"/>
    <col min="8989" max="8989" width="3" style="414" customWidth="1"/>
    <col min="8990" max="8990" width="5.7109375" style="414" customWidth="1"/>
    <col min="8991" max="8991" width="5.28515625" style="414" customWidth="1"/>
    <col min="8992" max="8992" width="5" style="414" customWidth="1"/>
    <col min="8993" max="8993" width="0" style="414" hidden="1" customWidth="1"/>
    <col min="8994" max="8994" width="3.7109375" style="414" customWidth="1"/>
    <col min="8995" max="8995" width="5.7109375" style="414" customWidth="1"/>
    <col min="8996" max="8996" width="7.42578125" style="414" customWidth="1"/>
    <col min="8997" max="8997" width="7.85546875" style="414" customWidth="1"/>
    <col min="8998" max="8998" width="7.5703125" style="414" customWidth="1"/>
    <col min="8999" max="8999" width="12.5703125" style="414" customWidth="1"/>
    <col min="9000" max="9000" width="7.85546875" style="414" customWidth="1"/>
    <col min="9001" max="9001" width="11.28515625" style="414" bestFit="1" customWidth="1"/>
    <col min="9002" max="9002" width="5.7109375" style="414" customWidth="1"/>
    <col min="9003" max="9003" width="2.7109375" style="414" customWidth="1"/>
    <col min="9004" max="9004" width="11.42578125" style="414" customWidth="1"/>
    <col min="9005" max="9005" width="10.85546875" style="414" customWidth="1"/>
    <col min="9006" max="9006" width="5.140625" style="414" customWidth="1"/>
    <col min="9007" max="9216" width="9.140625" style="414"/>
    <col min="9217" max="9217" width="2.140625" style="414" customWidth="1"/>
    <col min="9218" max="9218" width="16.42578125" style="414" customWidth="1"/>
    <col min="9219" max="9219" width="3.85546875" style="414" customWidth="1"/>
    <col min="9220" max="9220" width="6.5703125" style="414" customWidth="1"/>
    <col min="9221" max="9221" width="3.28515625" style="414" customWidth="1"/>
    <col min="9222" max="9222" width="6.28515625" style="414" customWidth="1"/>
    <col min="9223" max="9223" width="5.140625" style="414" customWidth="1"/>
    <col min="9224" max="9224" width="4.5703125" style="414" customWidth="1"/>
    <col min="9225" max="9225" width="5.28515625" style="414" customWidth="1"/>
    <col min="9226" max="9226" width="3.28515625" style="414" customWidth="1"/>
    <col min="9227" max="9227" width="3.5703125" style="414" customWidth="1"/>
    <col min="9228" max="9228" width="3" style="414" customWidth="1"/>
    <col min="9229" max="9229" width="5.140625" style="414" customWidth="1"/>
    <col min="9230" max="9230" width="7.140625" style="414" customWidth="1"/>
    <col min="9231" max="9231" width="6.7109375" style="414" customWidth="1"/>
    <col min="9232" max="9232" width="6.28515625" style="414" customWidth="1"/>
    <col min="9233" max="9233" width="5.85546875" style="414" customWidth="1"/>
    <col min="9234" max="9234" width="6.5703125" style="414" customWidth="1"/>
    <col min="9235" max="9235" width="3.5703125" style="414" customWidth="1"/>
    <col min="9236" max="9236" width="6.28515625" style="414" customWidth="1"/>
    <col min="9237" max="9237" width="2.85546875" style="414" customWidth="1"/>
    <col min="9238" max="9238" width="5.7109375" style="414" customWidth="1"/>
    <col min="9239" max="9239" width="6.140625" style="414" customWidth="1"/>
    <col min="9240" max="9240" width="6" style="414" customWidth="1"/>
    <col min="9241" max="9242" width="5.42578125" style="414" customWidth="1"/>
    <col min="9243" max="9243" width="3.85546875" style="414" customWidth="1"/>
    <col min="9244" max="9244" width="3.42578125" style="414" customWidth="1"/>
    <col min="9245" max="9245" width="3" style="414" customWidth="1"/>
    <col min="9246" max="9246" width="5.7109375" style="414" customWidth="1"/>
    <col min="9247" max="9247" width="5.28515625" style="414" customWidth="1"/>
    <col min="9248" max="9248" width="5" style="414" customWidth="1"/>
    <col min="9249" max="9249" width="0" style="414" hidden="1" customWidth="1"/>
    <col min="9250" max="9250" width="3.7109375" style="414" customWidth="1"/>
    <col min="9251" max="9251" width="5.7109375" style="414" customWidth="1"/>
    <col min="9252" max="9252" width="7.42578125" style="414" customWidth="1"/>
    <col min="9253" max="9253" width="7.85546875" style="414" customWidth="1"/>
    <col min="9254" max="9254" width="7.5703125" style="414" customWidth="1"/>
    <col min="9255" max="9255" width="12.5703125" style="414" customWidth="1"/>
    <col min="9256" max="9256" width="7.85546875" style="414" customWidth="1"/>
    <col min="9257" max="9257" width="11.28515625" style="414" bestFit="1" customWidth="1"/>
    <col min="9258" max="9258" width="5.7109375" style="414" customWidth="1"/>
    <col min="9259" max="9259" width="2.7109375" style="414" customWidth="1"/>
    <col min="9260" max="9260" width="11.42578125" style="414" customWidth="1"/>
    <col min="9261" max="9261" width="10.85546875" style="414" customWidth="1"/>
    <col min="9262" max="9262" width="5.140625" style="414" customWidth="1"/>
    <col min="9263" max="9472" width="9.140625" style="414"/>
    <col min="9473" max="9473" width="2.140625" style="414" customWidth="1"/>
    <col min="9474" max="9474" width="16.42578125" style="414" customWidth="1"/>
    <col min="9475" max="9475" width="3.85546875" style="414" customWidth="1"/>
    <col min="9476" max="9476" width="6.5703125" style="414" customWidth="1"/>
    <col min="9477" max="9477" width="3.28515625" style="414" customWidth="1"/>
    <col min="9478" max="9478" width="6.28515625" style="414" customWidth="1"/>
    <col min="9479" max="9479" width="5.140625" style="414" customWidth="1"/>
    <col min="9480" max="9480" width="4.5703125" style="414" customWidth="1"/>
    <col min="9481" max="9481" width="5.28515625" style="414" customWidth="1"/>
    <col min="9482" max="9482" width="3.28515625" style="414" customWidth="1"/>
    <col min="9483" max="9483" width="3.5703125" style="414" customWidth="1"/>
    <col min="9484" max="9484" width="3" style="414" customWidth="1"/>
    <col min="9485" max="9485" width="5.140625" style="414" customWidth="1"/>
    <col min="9486" max="9486" width="7.140625" style="414" customWidth="1"/>
    <col min="9487" max="9487" width="6.7109375" style="414" customWidth="1"/>
    <col min="9488" max="9488" width="6.28515625" style="414" customWidth="1"/>
    <col min="9489" max="9489" width="5.85546875" style="414" customWidth="1"/>
    <col min="9490" max="9490" width="6.5703125" style="414" customWidth="1"/>
    <col min="9491" max="9491" width="3.5703125" style="414" customWidth="1"/>
    <col min="9492" max="9492" width="6.28515625" style="414" customWidth="1"/>
    <col min="9493" max="9493" width="2.85546875" style="414" customWidth="1"/>
    <col min="9494" max="9494" width="5.7109375" style="414" customWidth="1"/>
    <col min="9495" max="9495" width="6.140625" style="414" customWidth="1"/>
    <col min="9496" max="9496" width="6" style="414" customWidth="1"/>
    <col min="9497" max="9498" width="5.42578125" style="414" customWidth="1"/>
    <col min="9499" max="9499" width="3.85546875" style="414" customWidth="1"/>
    <col min="9500" max="9500" width="3.42578125" style="414" customWidth="1"/>
    <col min="9501" max="9501" width="3" style="414" customWidth="1"/>
    <col min="9502" max="9502" width="5.7109375" style="414" customWidth="1"/>
    <col min="9503" max="9503" width="5.28515625" style="414" customWidth="1"/>
    <col min="9504" max="9504" width="5" style="414" customWidth="1"/>
    <col min="9505" max="9505" width="0" style="414" hidden="1" customWidth="1"/>
    <col min="9506" max="9506" width="3.7109375" style="414" customWidth="1"/>
    <col min="9507" max="9507" width="5.7109375" style="414" customWidth="1"/>
    <col min="9508" max="9508" width="7.42578125" style="414" customWidth="1"/>
    <col min="9509" max="9509" width="7.85546875" style="414" customWidth="1"/>
    <col min="9510" max="9510" width="7.5703125" style="414" customWidth="1"/>
    <col min="9511" max="9511" width="12.5703125" style="414" customWidth="1"/>
    <col min="9512" max="9512" width="7.85546875" style="414" customWidth="1"/>
    <col min="9513" max="9513" width="11.28515625" style="414" bestFit="1" customWidth="1"/>
    <col min="9514" max="9514" width="5.7109375" style="414" customWidth="1"/>
    <col min="9515" max="9515" width="2.7109375" style="414" customWidth="1"/>
    <col min="9516" max="9516" width="11.42578125" style="414" customWidth="1"/>
    <col min="9517" max="9517" width="10.85546875" style="414" customWidth="1"/>
    <col min="9518" max="9518" width="5.140625" style="414" customWidth="1"/>
    <col min="9519" max="9728" width="9.140625" style="414"/>
    <col min="9729" max="9729" width="2.140625" style="414" customWidth="1"/>
    <col min="9730" max="9730" width="16.42578125" style="414" customWidth="1"/>
    <col min="9731" max="9731" width="3.85546875" style="414" customWidth="1"/>
    <col min="9732" max="9732" width="6.5703125" style="414" customWidth="1"/>
    <col min="9733" max="9733" width="3.28515625" style="414" customWidth="1"/>
    <col min="9734" max="9734" width="6.28515625" style="414" customWidth="1"/>
    <col min="9735" max="9735" width="5.140625" style="414" customWidth="1"/>
    <col min="9736" max="9736" width="4.5703125" style="414" customWidth="1"/>
    <col min="9737" max="9737" width="5.28515625" style="414" customWidth="1"/>
    <col min="9738" max="9738" width="3.28515625" style="414" customWidth="1"/>
    <col min="9739" max="9739" width="3.5703125" style="414" customWidth="1"/>
    <col min="9740" max="9740" width="3" style="414" customWidth="1"/>
    <col min="9741" max="9741" width="5.140625" style="414" customWidth="1"/>
    <col min="9742" max="9742" width="7.140625" style="414" customWidth="1"/>
    <col min="9743" max="9743" width="6.7109375" style="414" customWidth="1"/>
    <col min="9744" max="9744" width="6.28515625" style="414" customWidth="1"/>
    <col min="9745" max="9745" width="5.85546875" style="414" customWidth="1"/>
    <col min="9746" max="9746" width="6.5703125" style="414" customWidth="1"/>
    <col min="9747" max="9747" width="3.5703125" style="414" customWidth="1"/>
    <col min="9748" max="9748" width="6.28515625" style="414" customWidth="1"/>
    <col min="9749" max="9749" width="2.85546875" style="414" customWidth="1"/>
    <col min="9750" max="9750" width="5.7109375" style="414" customWidth="1"/>
    <col min="9751" max="9751" width="6.140625" style="414" customWidth="1"/>
    <col min="9752" max="9752" width="6" style="414" customWidth="1"/>
    <col min="9753" max="9754" width="5.42578125" style="414" customWidth="1"/>
    <col min="9755" max="9755" width="3.85546875" style="414" customWidth="1"/>
    <col min="9756" max="9756" width="3.42578125" style="414" customWidth="1"/>
    <col min="9757" max="9757" width="3" style="414" customWidth="1"/>
    <col min="9758" max="9758" width="5.7109375" style="414" customWidth="1"/>
    <col min="9759" max="9759" width="5.28515625" style="414" customWidth="1"/>
    <col min="9760" max="9760" width="5" style="414" customWidth="1"/>
    <col min="9761" max="9761" width="0" style="414" hidden="1" customWidth="1"/>
    <col min="9762" max="9762" width="3.7109375" style="414" customWidth="1"/>
    <col min="9763" max="9763" width="5.7109375" style="414" customWidth="1"/>
    <col min="9764" max="9764" width="7.42578125" style="414" customWidth="1"/>
    <col min="9765" max="9765" width="7.85546875" style="414" customWidth="1"/>
    <col min="9766" max="9766" width="7.5703125" style="414" customWidth="1"/>
    <col min="9767" max="9767" width="12.5703125" style="414" customWidth="1"/>
    <col min="9768" max="9768" width="7.85546875" style="414" customWidth="1"/>
    <col min="9769" max="9769" width="11.28515625" style="414" bestFit="1" customWidth="1"/>
    <col min="9770" max="9770" width="5.7109375" style="414" customWidth="1"/>
    <col min="9771" max="9771" width="2.7109375" style="414" customWidth="1"/>
    <col min="9772" max="9772" width="11.42578125" style="414" customWidth="1"/>
    <col min="9773" max="9773" width="10.85546875" style="414" customWidth="1"/>
    <col min="9774" max="9774" width="5.140625" style="414" customWidth="1"/>
    <col min="9775" max="9984" width="9.140625" style="414"/>
    <col min="9985" max="9985" width="2.140625" style="414" customWidth="1"/>
    <col min="9986" max="9986" width="16.42578125" style="414" customWidth="1"/>
    <col min="9987" max="9987" width="3.85546875" style="414" customWidth="1"/>
    <col min="9988" max="9988" width="6.5703125" style="414" customWidth="1"/>
    <col min="9989" max="9989" width="3.28515625" style="414" customWidth="1"/>
    <col min="9990" max="9990" width="6.28515625" style="414" customWidth="1"/>
    <col min="9991" max="9991" width="5.140625" style="414" customWidth="1"/>
    <col min="9992" max="9992" width="4.5703125" style="414" customWidth="1"/>
    <col min="9993" max="9993" width="5.28515625" style="414" customWidth="1"/>
    <col min="9994" max="9994" width="3.28515625" style="414" customWidth="1"/>
    <col min="9995" max="9995" width="3.5703125" style="414" customWidth="1"/>
    <col min="9996" max="9996" width="3" style="414" customWidth="1"/>
    <col min="9997" max="9997" width="5.140625" style="414" customWidth="1"/>
    <col min="9998" max="9998" width="7.140625" style="414" customWidth="1"/>
    <col min="9999" max="9999" width="6.7109375" style="414" customWidth="1"/>
    <col min="10000" max="10000" width="6.28515625" style="414" customWidth="1"/>
    <col min="10001" max="10001" width="5.85546875" style="414" customWidth="1"/>
    <col min="10002" max="10002" width="6.5703125" style="414" customWidth="1"/>
    <col min="10003" max="10003" width="3.5703125" style="414" customWidth="1"/>
    <col min="10004" max="10004" width="6.28515625" style="414" customWidth="1"/>
    <col min="10005" max="10005" width="2.85546875" style="414" customWidth="1"/>
    <col min="10006" max="10006" width="5.7109375" style="414" customWidth="1"/>
    <col min="10007" max="10007" width="6.140625" style="414" customWidth="1"/>
    <col min="10008" max="10008" width="6" style="414" customWidth="1"/>
    <col min="10009" max="10010" width="5.42578125" style="414" customWidth="1"/>
    <col min="10011" max="10011" width="3.85546875" style="414" customWidth="1"/>
    <col min="10012" max="10012" width="3.42578125" style="414" customWidth="1"/>
    <col min="10013" max="10013" width="3" style="414" customWidth="1"/>
    <col min="10014" max="10014" width="5.7109375" style="414" customWidth="1"/>
    <col min="10015" max="10015" width="5.28515625" style="414" customWidth="1"/>
    <col min="10016" max="10016" width="5" style="414" customWidth="1"/>
    <col min="10017" max="10017" width="0" style="414" hidden="1" customWidth="1"/>
    <col min="10018" max="10018" width="3.7109375" style="414" customWidth="1"/>
    <col min="10019" max="10019" width="5.7109375" style="414" customWidth="1"/>
    <col min="10020" max="10020" width="7.42578125" style="414" customWidth="1"/>
    <col min="10021" max="10021" width="7.85546875" style="414" customWidth="1"/>
    <col min="10022" max="10022" width="7.5703125" style="414" customWidth="1"/>
    <col min="10023" max="10023" width="12.5703125" style="414" customWidth="1"/>
    <col min="10024" max="10024" width="7.85546875" style="414" customWidth="1"/>
    <col min="10025" max="10025" width="11.28515625" style="414" bestFit="1" customWidth="1"/>
    <col min="10026" max="10026" width="5.7109375" style="414" customWidth="1"/>
    <col min="10027" max="10027" width="2.7109375" style="414" customWidth="1"/>
    <col min="10028" max="10028" width="11.42578125" style="414" customWidth="1"/>
    <col min="10029" max="10029" width="10.85546875" style="414" customWidth="1"/>
    <col min="10030" max="10030" width="5.140625" style="414" customWidth="1"/>
    <col min="10031" max="10240" width="9.140625" style="414"/>
    <col min="10241" max="10241" width="2.140625" style="414" customWidth="1"/>
    <col min="10242" max="10242" width="16.42578125" style="414" customWidth="1"/>
    <col min="10243" max="10243" width="3.85546875" style="414" customWidth="1"/>
    <col min="10244" max="10244" width="6.5703125" style="414" customWidth="1"/>
    <col min="10245" max="10245" width="3.28515625" style="414" customWidth="1"/>
    <col min="10246" max="10246" width="6.28515625" style="414" customWidth="1"/>
    <col min="10247" max="10247" width="5.140625" style="414" customWidth="1"/>
    <col min="10248" max="10248" width="4.5703125" style="414" customWidth="1"/>
    <col min="10249" max="10249" width="5.28515625" style="414" customWidth="1"/>
    <col min="10250" max="10250" width="3.28515625" style="414" customWidth="1"/>
    <col min="10251" max="10251" width="3.5703125" style="414" customWidth="1"/>
    <col min="10252" max="10252" width="3" style="414" customWidth="1"/>
    <col min="10253" max="10253" width="5.140625" style="414" customWidth="1"/>
    <col min="10254" max="10254" width="7.140625" style="414" customWidth="1"/>
    <col min="10255" max="10255" width="6.7109375" style="414" customWidth="1"/>
    <col min="10256" max="10256" width="6.28515625" style="414" customWidth="1"/>
    <col min="10257" max="10257" width="5.85546875" style="414" customWidth="1"/>
    <col min="10258" max="10258" width="6.5703125" style="414" customWidth="1"/>
    <col min="10259" max="10259" width="3.5703125" style="414" customWidth="1"/>
    <col min="10260" max="10260" width="6.28515625" style="414" customWidth="1"/>
    <col min="10261" max="10261" width="2.85546875" style="414" customWidth="1"/>
    <col min="10262" max="10262" width="5.7109375" style="414" customWidth="1"/>
    <col min="10263" max="10263" width="6.140625" style="414" customWidth="1"/>
    <col min="10264" max="10264" width="6" style="414" customWidth="1"/>
    <col min="10265" max="10266" width="5.42578125" style="414" customWidth="1"/>
    <col min="10267" max="10267" width="3.85546875" style="414" customWidth="1"/>
    <col min="10268" max="10268" width="3.42578125" style="414" customWidth="1"/>
    <col min="10269" max="10269" width="3" style="414" customWidth="1"/>
    <col min="10270" max="10270" width="5.7109375" style="414" customWidth="1"/>
    <col min="10271" max="10271" width="5.28515625" style="414" customWidth="1"/>
    <col min="10272" max="10272" width="5" style="414" customWidth="1"/>
    <col min="10273" max="10273" width="0" style="414" hidden="1" customWidth="1"/>
    <col min="10274" max="10274" width="3.7109375" style="414" customWidth="1"/>
    <col min="10275" max="10275" width="5.7109375" style="414" customWidth="1"/>
    <col min="10276" max="10276" width="7.42578125" style="414" customWidth="1"/>
    <col min="10277" max="10277" width="7.85546875" style="414" customWidth="1"/>
    <col min="10278" max="10278" width="7.5703125" style="414" customWidth="1"/>
    <col min="10279" max="10279" width="12.5703125" style="414" customWidth="1"/>
    <col min="10280" max="10280" width="7.85546875" style="414" customWidth="1"/>
    <col min="10281" max="10281" width="11.28515625" style="414" bestFit="1" customWidth="1"/>
    <col min="10282" max="10282" width="5.7109375" style="414" customWidth="1"/>
    <col min="10283" max="10283" width="2.7109375" style="414" customWidth="1"/>
    <col min="10284" max="10284" width="11.42578125" style="414" customWidth="1"/>
    <col min="10285" max="10285" width="10.85546875" style="414" customWidth="1"/>
    <col min="10286" max="10286" width="5.140625" style="414" customWidth="1"/>
    <col min="10287" max="10496" width="9.140625" style="414"/>
    <col min="10497" max="10497" width="2.140625" style="414" customWidth="1"/>
    <col min="10498" max="10498" width="16.42578125" style="414" customWidth="1"/>
    <col min="10499" max="10499" width="3.85546875" style="414" customWidth="1"/>
    <col min="10500" max="10500" width="6.5703125" style="414" customWidth="1"/>
    <col min="10501" max="10501" width="3.28515625" style="414" customWidth="1"/>
    <col min="10502" max="10502" width="6.28515625" style="414" customWidth="1"/>
    <col min="10503" max="10503" width="5.140625" style="414" customWidth="1"/>
    <col min="10504" max="10504" width="4.5703125" style="414" customWidth="1"/>
    <col min="10505" max="10505" width="5.28515625" style="414" customWidth="1"/>
    <col min="10506" max="10506" width="3.28515625" style="414" customWidth="1"/>
    <col min="10507" max="10507" width="3.5703125" style="414" customWidth="1"/>
    <col min="10508" max="10508" width="3" style="414" customWidth="1"/>
    <col min="10509" max="10509" width="5.140625" style="414" customWidth="1"/>
    <col min="10510" max="10510" width="7.140625" style="414" customWidth="1"/>
    <col min="10511" max="10511" width="6.7109375" style="414" customWidth="1"/>
    <col min="10512" max="10512" width="6.28515625" style="414" customWidth="1"/>
    <col min="10513" max="10513" width="5.85546875" style="414" customWidth="1"/>
    <col min="10514" max="10514" width="6.5703125" style="414" customWidth="1"/>
    <col min="10515" max="10515" width="3.5703125" style="414" customWidth="1"/>
    <col min="10516" max="10516" width="6.28515625" style="414" customWidth="1"/>
    <col min="10517" max="10517" width="2.85546875" style="414" customWidth="1"/>
    <col min="10518" max="10518" width="5.7109375" style="414" customWidth="1"/>
    <col min="10519" max="10519" width="6.140625" style="414" customWidth="1"/>
    <col min="10520" max="10520" width="6" style="414" customWidth="1"/>
    <col min="10521" max="10522" width="5.42578125" style="414" customWidth="1"/>
    <col min="10523" max="10523" width="3.85546875" style="414" customWidth="1"/>
    <col min="10524" max="10524" width="3.42578125" style="414" customWidth="1"/>
    <col min="10525" max="10525" width="3" style="414" customWidth="1"/>
    <col min="10526" max="10526" width="5.7109375" style="414" customWidth="1"/>
    <col min="10527" max="10527" width="5.28515625" style="414" customWidth="1"/>
    <col min="10528" max="10528" width="5" style="414" customWidth="1"/>
    <col min="10529" max="10529" width="0" style="414" hidden="1" customWidth="1"/>
    <col min="10530" max="10530" width="3.7109375" style="414" customWidth="1"/>
    <col min="10531" max="10531" width="5.7109375" style="414" customWidth="1"/>
    <col min="10532" max="10532" width="7.42578125" style="414" customWidth="1"/>
    <col min="10533" max="10533" width="7.85546875" style="414" customWidth="1"/>
    <col min="10534" max="10534" width="7.5703125" style="414" customWidth="1"/>
    <col min="10535" max="10535" width="12.5703125" style="414" customWidth="1"/>
    <col min="10536" max="10536" width="7.85546875" style="414" customWidth="1"/>
    <col min="10537" max="10537" width="11.28515625" style="414" bestFit="1" customWidth="1"/>
    <col min="10538" max="10538" width="5.7109375" style="414" customWidth="1"/>
    <col min="10539" max="10539" width="2.7109375" style="414" customWidth="1"/>
    <col min="10540" max="10540" width="11.42578125" style="414" customWidth="1"/>
    <col min="10541" max="10541" width="10.85546875" style="414" customWidth="1"/>
    <col min="10542" max="10542" width="5.140625" style="414" customWidth="1"/>
    <col min="10543" max="10752" width="9.140625" style="414"/>
    <col min="10753" max="10753" width="2.140625" style="414" customWidth="1"/>
    <col min="10754" max="10754" width="16.42578125" style="414" customWidth="1"/>
    <col min="10755" max="10755" width="3.85546875" style="414" customWidth="1"/>
    <col min="10756" max="10756" width="6.5703125" style="414" customWidth="1"/>
    <col min="10757" max="10757" width="3.28515625" style="414" customWidth="1"/>
    <col min="10758" max="10758" width="6.28515625" style="414" customWidth="1"/>
    <col min="10759" max="10759" width="5.140625" style="414" customWidth="1"/>
    <col min="10760" max="10760" width="4.5703125" style="414" customWidth="1"/>
    <col min="10761" max="10761" width="5.28515625" style="414" customWidth="1"/>
    <col min="10762" max="10762" width="3.28515625" style="414" customWidth="1"/>
    <col min="10763" max="10763" width="3.5703125" style="414" customWidth="1"/>
    <col min="10764" max="10764" width="3" style="414" customWidth="1"/>
    <col min="10765" max="10765" width="5.140625" style="414" customWidth="1"/>
    <col min="10766" max="10766" width="7.140625" style="414" customWidth="1"/>
    <col min="10767" max="10767" width="6.7109375" style="414" customWidth="1"/>
    <col min="10768" max="10768" width="6.28515625" style="414" customWidth="1"/>
    <col min="10769" max="10769" width="5.85546875" style="414" customWidth="1"/>
    <col min="10770" max="10770" width="6.5703125" style="414" customWidth="1"/>
    <col min="10771" max="10771" width="3.5703125" style="414" customWidth="1"/>
    <col min="10772" max="10772" width="6.28515625" style="414" customWidth="1"/>
    <col min="10773" max="10773" width="2.85546875" style="414" customWidth="1"/>
    <col min="10774" max="10774" width="5.7109375" style="414" customWidth="1"/>
    <col min="10775" max="10775" width="6.140625" style="414" customWidth="1"/>
    <col min="10776" max="10776" width="6" style="414" customWidth="1"/>
    <col min="10777" max="10778" width="5.42578125" style="414" customWidth="1"/>
    <col min="10779" max="10779" width="3.85546875" style="414" customWidth="1"/>
    <col min="10780" max="10780" width="3.42578125" style="414" customWidth="1"/>
    <col min="10781" max="10781" width="3" style="414" customWidth="1"/>
    <col min="10782" max="10782" width="5.7109375" style="414" customWidth="1"/>
    <col min="10783" max="10783" width="5.28515625" style="414" customWidth="1"/>
    <col min="10784" max="10784" width="5" style="414" customWidth="1"/>
    <col min="10785" max="10785" width="0" style="414" hidden="1" customWidth="1"/>
    <col min="10786" max="10786" width="3.7109375" style="414" customWidth="1"/>
    <col min="10787" max="10787" width="5.7109375" style="414" customWidth="1"/>
    <col min="10788" max="10788" width="7.42578125" style="414" customWidth="1"/>
    <col min="10789" max="10789" width="7.85546875" style="414" customWidth="1"/>
    <col min="10790" max="10790" width="7.5703125" style="414" customWidth="1"/>
    <col min="10791" max="10791" width="12.5703125" style="414" customWidth="1"/>
    <col min="10792" max="10792" width="7.85546875" style="414" customWidth="1"/>
    <col min="10793" max="10793" width="11.28515625" style="414" bestFit="1" customWidth="1"/>
    <col min="10794" max="10794" width="5.7109375" style="414" customWidth="1"/>
    <col min="10795" max="10795" width="2.7109375" style="414" customWidth="1"/>
    <col min="10796" max="10796" width="11.42578125" style="414" customWidth="1"/>
    <col min="10797" max="10797" width="10.85546875" style="414" customWidth="1"/>
    <col min="10798" max="10798" width="5.140625" style="414" customWidth="1"/>
    <col min="10799" max="11008" width="9.140625" style="414"/>
    <col min="11009" max="11009" width="2.140625" style="414" customWidth="1"/>
    <col min="11010" max="11010" width="16.42578125" style="414" customWidth="1"/>
    <col min="11011" max="11011" width="3.85546875" style="414" customWidth="1"/>
    <col min="11012" max="11012" width="6.5703125" style="414" customWidth="1"/>
    <col min="11013" max="11013" width="3.28515625" style="414" customWidth="1"/>
    <col min="11014" max="11014" width="6.28515625" style="414" customWidth="1"/>
    <col min="11015" max="11015" width="5.140625" style="414" customWidth="1"/>
    <col min="11016" max="11016" width="4.5703125" style="414" customWidth="1"/>
    <col min="11017" max="11017" width="5.28515625" style="414" customWidth="1"/>
    <col min="11018" max="11018" width="3.28515625" style="414" customWidth="1"/>
    <col min="11019" max="11019" width="3.5703125" style="414" customWidth="1"/>
    <col min="11020" max="11020" width="3" style="414" customWidth="1"/>
    <col min="11021" max="11021" width="5.140625" style="414" customWidth="1"/>
    <col min="11022" max="11022" width="7.140625" style="414" customWidth="1"/>
    <col min="11023" max="11023" width="6.7109375" style="414" customWidth="1"/>
    <col min="11024" max="11024" width="6.28515625" style="414" customWidth="1"/>
    <col min="11025" max="11025" width="5.85546875" style="414" customWidth="1"/>
    <col min="11026" max="11026" width="6.5703125" style="414" customWidth="1"/>
    <col min="11027" max="11027" width="3.5703125" style="414" customWidth="1"/>
    <col min="11028" max="11028" width="6.28515625" style="414" customWidth="1"/>
    <col min="11029" max="11029" width="2.85546875" style="414" customWidth="1"/>
    <col min="11030" max="11030" width="5.7109375" style="414" customWidth="1"/>
    <col min="11031" max="11031" width="6.140625" style="414" customWidth="1"/>
    <col min="11032" max="11032" width="6" style="414" customWidth="1"/>
    <col min="11033" max="11034" width="5.42578125" style="414" customWidth="1"/>
    <col min="11035" max="11035" width="3.85546875" style="414" customWidth="1"/>
    <col min="11036" max="11036" width="3.42578125" style="414" customWidth="1"/>
    <col min="11037" max="11037" width="3" style="414" customWidth="1"/>
    <col min="11038" max="11038" width="5.7109375" style="414" customWidth="1"/>
    <col min="11039" max="11039" width="5.28515625" style="414" customWidth="1"/>
    <col min="11040" max="11040" width="5" style="414" customWidth="1"/>
    <col min="11041" max="11041" width="0" style="414" hidden="1" customWidth="1"/>
    <col min="11042" max="11042" width="3.7109375" style="414" customWidth="1"/>
    <col min="11043" max="11043" width="5.7109375" style="414" customWidth="1"/>
    <col min="11044" max="11044" width="7.42578125" style="414" customWidth="1"/>
    <col min="11045" max="11045" width="7.85546875" style="414" customWidth="1"/>
    <col min="11046" max="11046" width="7.5703125" style="414" customWidth="1"/>
    <col min="11047" max="11047" width="12.5703125" style="414" customWidth="1"/>
    <col min="11048" max="11048" width="7.85546875" style="414" customWidth="1"/>
    <col min="11049" max="11049" width="11.28515625" style="414" bestFit="1" customWidth="1"/>
    <col min="11050" max="11050" width="5.7109375" style="414" customWidth="1"/>
    <col min="11051" max="11051" width="2.7109375" style="414" customWidth="1"/>
    <col min="11052" max="11052" width="11.42578125" style="414" customWidth="1"/>
    <col min="11053" max="11053" width="10.85546875" style="414" customWidth="1"/>
    <col min="11054" max="11054" width="5.140625" style="414" customWidth="1"/>
    <col min="11055" max="11264" width="9.140625" style="414"/>
    <col min="11265" max="11265" width="2.140625" style="414" customWidth="1"/>
    <col min="11266" max="11266" width="16.42578125" style="414" customWidth="1"/>
    <col min="11267" max="11267" width="3.85546875" style="414" customWidth="1"/>
    <col min="11268" max="11268" width="6.5703125" style="414" customWidth="1"/>
    <col min="11269" max="11269" width="3.28515625" style="414" customWidth="1"/>
    <col min="11270" max="11270" width="6.28515625" style="414" customWidth="1"/>
    <col min="11271" max="11271" width="5.140625" style="414" customWidth="1"/>
    <col min="11272" max="11272" width="4.5703125" style="414" customWidth="1"/>
    <col min="11273" max="11273" width="5.28515625" style="414" customWidth="1"/>
    <col min="11274" max="11274" width="3.28515625" style="414" customWidth="1"/>
    <col min="11275" max="11275" width="3.5703125" style="414" customWidth="1"/>
    <col min="11276" max="11276" width="3" style="414" customWidth="1"/>
    <col min="11277" max="11277" width="5.140625" style="414" customWidth="1"/>
    <col min="11278" max="11278" width="7.140625" style="414" customWidth="1"/>
    <col min="11279" max="11279" width="6.7109375" style="414" customWidth="1"/>
    <col min="11280" max="11280" width="6.28515625" style="414" customWidth="1"/>
    <col min="11281" max="11281" width="5.85546875" style="414" customWidth="1"/>
    <col min="11282" max="11282" width="6.5703125" style="414" customWidth="1"/>
    <col min="11283" max="11283" width="3.5703125" style="414" customWidth="1"/>
    <col min="11284" max="11284" width="6.28515625" style="414" customWidth="1"/>
    <col min="11285" max="11285" width="2.85546875" style="414" customWidth="1"/>
    <col min="11286" max="11286" width="5.7109375" style="414" customWidth="1"/>
    <col min="11287" max="11287" width="6.140625" style="414" customWidth="1"/>
    <col min="11288" max="11288" width="6" style="414" customWidth="1"/>
    <col min="11289" max="11290" width="5.42578125" style="414" customWidth="1"/>
    <col min="11291" max="11291" width="3.85546875" style="414" customWidth="1"/>
    <col min="11292" max="11292" width="3.42578125" style="414" customWidth="1"/>
    <col min="11293" max="11293" width="3" style="414" customWidth="1"/>
    <col min="11294" max="11294" width="5.7109375" style="414" customWidth="1"/>
    <col min="11295" max="11295" width="5.28515625" style="414" customWidth="1"/>
    <col min="11296" max="11296" width="5" style="414" customWidth="1"/>
    <col min="11297" max="11297" width="0" style="414" hidden="1" customWidth="1"/>
    <col min="11298" max="11298" width="3.7109375" style="414" customWidth="1"/>
    <col min="11299" max="11299" width="5.7109375" style="414" customWidth="1"/>
    <col min="11300" max="11300" width="7.42578125" style="414" customWidth="1"/>
    <col min="11301" max="11301" width="7.85546875" style="414" customWidth="1"/>
    <col min="11302" max="11302" width="7.5703125" style="414" customWidth="1"/>
    <col min="11303" max="11303" width="12.5703125" style="414" customWidth="1"/>
    <col min="11304" max="11304" width="7.85546875" style="414" customWidth="1"/>
    <col min="11305" max="11305" width="11.28515625" style="414" bestFit="1" customWidth="1"/>
    <col min="11306" max="11306" width="5.7109375" style="414" customWidth="1"/>
    <col min="11307" max="11307" width="2.7109375" style="414" customWidth="1"/>
    <col min="11308" max="11308" width="11.42578125" style="414" customWidth="1"/>
    <col min="11309" max="11309" width="10.85546875" style="414" customWidth="1"/>
    <col min="11310" max="11310" width="5.140625" style="414" customWidth="1"/>
    <col min="11311" max="11520" width="9.140625" style="414"/>
    <col min="11521" max="11521" width="2.140625" style="414" customWidth="1"/>
    <col min="11522" max="11522" width="16.42578125" style="414" customWidth="1"/>
    <col min="11523" max="11523" width="3.85546875" style="414" customWidth="1"/>
    <col min="11524" max="11524" width="6.5703125" style="414" customWidth="1"/>
    <col min="11525" max="11525" width="3.28515625" style="414" customWidth="1"/>
    <col min="11526" max="11526" width="6.28515625" style="414" customWidth="1"/>
    <col min="11527" max="11527" width="5.140625" style="414" customWidth="1"/>
    <col min="11528" max="11528" width="4.5703125" style="414" customWidth="1"/>
    <col min="11529" max="11529" width="5.28515625" style="414" customWidth="1"/>
    <col min="11530" max="11530" width="3.28515625" style="414" customWidth="1"/>
    <col min="11531" max="11531" width="3.5703125" style="414" customWidth="1"/>
    <col min="11532" max="11532" width="3" style="414" customWidth="1"/>
    <col min="11533" max="11533" width="5.140625" style="414" customWidth="1"/>
    <col min="11534" max="11534" width="7.140625" style="414" customWidth="1"/>
    <col min="11535" max="11535" width="6.7109375" style="414" customWidth="1"/>
    <col min="11536" max="11536" width="6.28515625" style="414" customWidth="1"/>
    <col min="11537" max="11537" width="5.85546875" style="414" customWidth="1"/>
    <col min="11538" max="11538" width="6.5703125" style="414" customWidth="1"/>
    <col min="11539" max="11539" width="3.5703125" style="414" customWidth="1"/>
    <col min="11540" max="11540" width="6.28515625" style="414" customWidth="1"/>
    <col min="11541" max="11541" width="2.85546875" style="414" customWidth="1"/>
    <col min="11542" max="11542" width="5.7109375" style="414" customWidth="1"/>
    <col min="11543" max="11543" width="6.140625" style="414" customWidth="1"/>
    <col min="11544" max="11544" width="6" style="414" customWidth="1"/>
    <col min="11545" max="11546" width="5.42578125" style="414" customWidth="1"/>
    <col min="11547" max="11547" width="3.85546875" style="414" customWidth="1"/>
    <col min="11548" max="11548" width="3.42578125" style="414" customWidth="1"/>
    <col min="11549" max="11549" width="3" style="414" customWidth="1"/>
    <col min="11550" max="11550" width="5.7109375" style="414" customWidth="1"/>
    <col min="11551" max="11551" width="5.28515625" style="414" customWidth="1"/>
    <col min="11552" max="11552" width="5" style="414" customWidth="1"/>
    <col min="11553" max="11553" width="0" style="414" hidden="1" customWidth="1"/>
    <col min="11554" max="11554" width="3.7109375" style="414" customWidth="1"/>
    <col min="11555" max="11555" width="5.7109375" style="414" customWidth="1"/>
    <col min="11556" max="11556" width="7.42578125" style="414" customWidth="1"/>
    <col min="11557" max="11557" width="7.85546875" style="414" customWidth="1"/>
    <col min="11558" max="11558" width="7.5703125" style="414" customWidth="1"/>
    <col min="11559" max="11559" width="12.5703125" style="414" customWidth="1"/>
    <col min="11560" max="11560" width="7.85546875" style="414" customWidth="1"/>
    <col min="11561" max="11561" width="11.28515625" style="414" bestFit="1" customWidth="1"/>
    <col min="11562" max="11562" width="5.7109375" style="414" customWidth="1"/>
    <col min="11563" max="11563" width="2.7109375" style="414" customWidth="1"/>
    <col min="11564" max="11564" width="11.42578125" style="414" customWidth="1"/>
    <col min="11565" max="11565" width="10.85546875" style="414" customWidth="1"/>
    <col min="11566" max="11566" width="5.140625" style="414" customWidth="1"/>
    <col min="11567" max="11776" width="9.140625" style="414"/>
    <col min="11777" max="11777" width="2.140625" style="414" customWidth="1"/>
    <col min="11778" max="11778" width="16.42578125" style="414" customWidth="1"/>
    <col min="11779" max="11779" width="3.85546875" style="414" customWidth="1"/>
    <col min="11780" max="11780" width="6.5703125" style="414" customWidth="1"/>
    <col min="11781" max="11781" width="3.28515625" style="414" customWidth="1"/>
    <col min="11782" max="11782" width="6.28515625" style="414" customWidth="1"/>
    <col min="11783" max="11783" width="5.140625" style="414" customWidth="1"/>
    <col min="11784" max="11784" width="4.5703125" style="414" customWidth="1"/>
    <col min="11785" max="11785" width="5.28515625" style="414" customWidth="1"/>
    <col min="11786" max="11786" width="3.28515625" style="414" customWidth="1"/>
    <col min="11787" max="11787" width="3.5703125" style="414" customWidth="1"/>
    <col min="11788" max="11788" width="3" style="414" customWidth="1"/>
    <col min="11789" max="11789" width="5.140625" style="414" customWidth="1"/>
    <col min="11790" max="11790" width="7.140625" style="414" customWidth="1"/>
    <col min="11791" max="11791" width="6.7109375" style="414" customWidth="1"/>
    <col min="11792" max="11792" width="6.28515625" style="414" customWidth="1"/>
    <col min="11793" max="11793" width="5.85546875" style="414" customWidth="1"/>
    <col min="11794" max="11794" width="6.5703125" style="414" customWidth="1"/>
    <col min="11795" max="11795" width="3.5703125" style="414" customWidth="1"/>
    <col min="11796" max="11796" width="6.28515625" style="414" customWidth="1"/>
    <col min="11797" max="11797" width="2.85546875" style="414" customWidth="1"/>
    <col min="11798" max="11798" width="5.7109375" style="414" customWidth="1"/>
    <col min="11799" max="11799" width="6.140625" style="414" customWidth="1"/>
    <col min="11800" max="11800" width="6" style="414" customWidth="1"/>
    <col min="11801" max="11802" width="5.42578125" style="414" customWidth="1"/>
    <col min="11803" max="11803" width="3.85546875" style="414" customWidth="1"/>
    <col min="11804" max="11804" width="3.42578125" style="414" customWidth="1"/>
    <col min="11805" max="11805" width="3" style="414" customWidth="1"/>
    <col min="11806" max="11806" width="5.7109375" style="414" customWidth="1"/>
    <col min="11807" max="11807" width="5.28515625" style="414" customWidth="1"/>
    <col min="11808" max="11808" width="5" style="414" customWidth="1"/>
    <col min="11809" max="11809" width="0" style="414" hidden="1" customWidth="1"/>
    <col min="11810" max="11810" width="3.7109375" style="414" customWidth="1"/>
    <col min="11811" max="11811" width="5.7109375" style="414" customWidth="1"/>
    <col min="11812" max="11812" width="7.42578125" style="414" customWidth="1"/>
    <col min="11813" max="11813" width="7.85546875" style="414" customWidth="1"/>
    <col min="11814" max="11814" width="7.5703125" style="414" customWidth="1"/>
    <col min="11815" max="11815" width="12.5703125" style="414" customWidth="1"/>
    <col min="11816" max="11816" width="7.85546875" style="414" customWidth="1"/>
    <col min="11817" max="11817" width="11.28515625" style="414" bestFit="1" customWidth="1"/>
    <col min="11818" max="11818" width="5.7109375" style="414" customWidth="1"/>
    <col min="11819" max="11819" width="2.7109375" style="414" customWidth="1"/>
    <col min="11820" max="11820" width="11.42578125" style="414" customWidth="1"/>
    <col min="11821" max="11821" width="10.85546875" style="414" customWidth="1"/>
    <col min="11822" max="11822" width="5.140625" style="414" customWidth="1"/>
    <col min="11823" max="12032" width="9.140625" style="414"/>
    <col min="12033" max="12033" width="2.140625" style="414" customWidth="1"/>
    <col min="12034" max="12034" width="16.42578125" style="414" customWidth="1"/>
    <col min="12035" max="12035" width="3.85546875" style="414" customWidth="1"/>
    <col min="12036" max="12036" width="6.5703125" style="414" customWidth="1"/>
    <col min="12037" max="12037" width="3.28515625" style="414" customWidth="1"/>
    <col min="12038" max="12038" width="6.28515625" style="414" customWidth="1"/>
    <col min="12039" max="12039" width="5.140625" style="414" customWidth="1"/>
    <col min="12040" max="12040" width="4.5703125" style="414" customWidth="1"/>
    <col min="12041" max="12041" width="5.28515625" style="414" customWidth="1"/>
    <col min="12042" max="12042" width="3.28515625" style="414" customWidth="1"/>
    <col min="12043" max="12043" width="3.5703125" style="414" customWidth="1"/>
    <col min="12044" max="12044" width="3" style="414" customWidth="1"/>
    <col min="12045" max="12045" width="5.140625" style="414" customWidth="1"/>
    <col min="12046" max="12046" width="7.140625" style="414" customWidth="1"/>
    <col min="12047" max="12047" width="6.7109375" style="414" customWidth="1"/>
    <col min="12048" max="12048" width="6.28515625" style="414" customWidth="1"/>
    <col min="12049" max="12049" width="5.85546875" style="414" customWidth="1"/>
    <col min="12050" max="12050" width="6.5703125" style="414" customWidth="1"/>
    <col min="12051" max="12051" width="3.5703125" style="414" customWidth="1"/>
    <col min="12052" max="12052" width="6.28515625" style="414" customWidth="1"/>
    <col min="12053" max="12053" width="2.85546875" style="414" customWidth="1"/>
    <col min="12054" max="12054" width="5.7109375" style="414" customWidth="1"/>
    <col min="12055" max="12055" width="6.140625" style="414" customWidth="1"/>
    <col min="12056" max="12056" width="6" style="414" customWidth="1"/>
    <col min="12057" max="12058" width="5.42578125" style="414" customWidth="1"/>
    <col min="12059" max="12059" width="3.85546875" style="414" customWidth="1"/>
    <col min="12060" max="12060" width="3.42578125" style="414" customWidth="1"/>
    <col min="12061" max="12061" width="3" style="414" customWidth="1"/>
    <col min="12062" max="12062" width="5.7109375" style="414" customWidth="1"/>
    <col min="12063" max="12063" width="5.28515625" style="414" customWidth="1"/>
    <col min="12064" max="12064" width="5" style="414" customWidth="1"/>
    <col min="12065" max="12065" width="0" style="414" hidden="1" customWidth="1"/>
    <col min="12066" max="12066" width="3.7109375" style="414" customWidth="1"/>
    <col min="12067" max="12067" width="5.7109375" style="414" customWidth="1"/>
    <col min="12068" max="12068" width="7.42578125" style="414" customWidth="1"/>
    <col min="12069" max="12069" width="7.85546875" style="414" customWidth="1"/>
    <col min="12070" max="12070" width="7.5703125" style="414" customWidth="1"/>
    <col min="12071" max="12071" width="12.5703125" style="414" customWidth="1"/>
    <col min="12072" max="12072" width="7.85546875" style="414" customWidth="1"/>
    <col min="12073" max="12073" width="11.28515625" style="414" bestFit="1" customWidth="1"/>
    <col min="12074" max="12074" width="5.7109375" style="414" customWidth="1"/>
    <col min="12075" max="12075" width="2.7109375" style="414" customWidth="1"/>
    <col min="12076" max="12076" width="11.42578125" style="414" customWidth="1"/>
    <col min="12077" max="12077" width="10.85546875" style="414" customWidth="1"/>
    <col min="12078" max="12078" width="5.140625" style="414" customWidth="1"/>
    <col min="12079" max="12288" width="9.140625" style="414"/>
    <col min="12289" max="12289" width="2.140625" style="414" customWidth="1"/>
    <col min="12290" max="12290" width="16.42578125" style="414" customWidth="1"/>
    <col min="12291" max="12291" width="3.85546875" style="414" customWidth="1"/>
    <col min="12292" max="12292" width="6.5703125" style="414" customWidth="1"/>
    <col min="12293" max="12293" width="3.28515625" style="414" customWidth="1"/>
    <col min="12294" max="12294" width="6.28515625" style="414" customWidth="1"/>
    <col min="12295" max="12295" width="5.140625" style="414" customWidth="1"/>
    <col min="12296" max="12296" width="4.5703125" style="414" customWidth="1"/>
    <col min="12297" max="12297" width="5.28515625" style="414" customWidth="1"/>
    <col min="12298" max="12298" width="3.28515625" style="414" customWidth="1"/>
    <col min="12299" max="12299" width="3.5703125" style="414" customWidth="1"/>
    <col min="12300" max="12300" width="3" style="414" customWidth="1"/>
    <col min="12301" max="12301" width="5.140625" style="414" customWidth="1"/>
    <col min="12302" max="12302" width="7.140625" style="414" customWidth="1"/>
    <col min="12303" max="12303" width="6.7109375" style="414" customWidth="1"/>
    <col min="12304" max="12304" width="6.28515625" style="414" customWidth="1"/>
    <col min="12305" max="12305" width="5.85546875" style="414" customWidth="1"/>
    <col min="12306" max="12306" width="6.5703125" style="414" customWidth="1"/>
    <col min="12307" max="12307" width="3.5703125" style="414" customWidth="1"/>
    <col min="12308" max="12308" width="6.28515625" style="414" customWidth="1"/>
    <col min="12309" max="12309" width="2.85546875" style="414" customWidth="1"/>
    <col min="12310" max="12310" width="5.7109375" style="414" customWidth="1"/>
    <col min="12311" max="12311" width="6.140625" style="414" customWidth="1"/>
    <col min="12312" max="12312" width="6" style="414" customWidth="1"/>
    <col min="12313" max="12314" width="5.42578125" style="414" customWidth="1"/>
    <col min="12315" max="12315" width="3.85546875" style="414" customWidth="1"/>
    <col min="12316" max="12316" width="3.42578125" style="414" customWidth="1"/>
    <col min="12317" max="12317" width="3" style="414" customWidth="1"/>
    <col min="12318" max="12318" width="5.7109375" style="414" customWidth="1"/>
    <col min="12319" max="12319" width="5.28515625" style="414" customWidth="1"/>
    <col min="12320" max="12320" width="5" style="414" customWidth="1"/>
    <col min="12321" max="12321" width="0" style="414" hidden="1" customWidth="1"/>
    <col min="12322" max="12322" width="3.7109375" style="414" customWidth="1"/>
    <col min="12323" max="12323" width="5.7109375" style="414" customWidth="1"/>
    <col min="12324" max="12324" width="7.42578125" style="414" customWidth="1"/>
    <col min="12325" max="12325" width="7.85546875" style="414" customWidth="1"/>
    <col min="12326" max="12326" width="7.5703125" style="414" customWidth="1"/>
    <col min="12327" max="12327" width="12.5703125" style="414" customWidth="1"/>
    <col min="12328" max="12328" width="7.85546875" style="414" customWidth="1"/>
    <col min="12329" max="12329" width="11.28515625" style="414" bestFit="1" customWidth="1"/>
    <col min="12330" max="12330" width="5.7109375" style="414" customWidth="1"/>
    <col min="12331" max="12331" width="2.7109375" style="414" customWidth="1"/>
    <col min="12332" max="12332" width="11.42578125" style="414" customWidth="1"/>
    <col min="12333" max="12333" width="10.85546875" style="414" customWidth="1"/>
    <col min="12334" max="12334" width="5.140625" style="414" customWidth="1"/>
    <col min="12335" max="12544" width="9.140625" style="414"/>
    <col min="12545" max="12545" width="2.140625" style="414" customWidth="1"/>
    <col min="12546" max="12546" width="16.42578125" style="414" customWidth="1"/>
    <col min="12547" max="12547" width="3.85546875" style="414" customWidth="1"/>
    <col min="12548" max="12548" width="6.5703125" style="414" customWidth="1"/>
    <col min="12549" max="12549" width="3.28515625" style="414" customWidth="1"/>
    <col min="12550" max="12550" width="6.28515625" style="414" customWidth="1"/>
    <col min="12551" max="12551" width="5.140625" style="414" customWidth="1"/>
    <col min="12552" max="12552" width="4.5703125" style="414" customWidth="1"/>
    <col min="12553" max="12553" width="5.28515625" style="414" customWidth="1"/>
    <col min="12554" max="12554" width="3.28515625" style="414" customWidth="1"/>
    <col min="12555" max="12555" width="3.5703125" style="414" customWidth="1"/>
    <col min="12556" max="12556" width="3" style="414" customWidth="1"/>
    <col min="12557" max="12557" width="5.140625" style="414" customWidth="1"/>
    <col min="12558" max="12558" width="7.140625" style="414" customWidth="1"/>
    <col min="12559" max="12559" width="6.7109375" style="414" customWidth="1"/>
    <col min="12560" max="12560" width="6.28515625" style="414" customWidth="1"/>
    <col min="12561" max="12561" width="5.85546875" style="414" customWidth="1"/>
    <col min="12562" max="12562" width="6.5703125" style="414" customWidth="1"/>
    <col min="12563" max="12563" width="3.5703125" style="414" customWidth="1"/>
    <col min="12564" max="12564" width="6.28515625" style="414" customWidth="1"/>
    <col min="12565" max="12565" width="2.85546875" style="414" customWidth="1"/>
    <col min="12566" max="12566" width="5.7109375" style="414" customWidth="1"/>
    <col min="12567" max="12567" width="6.140625" style="414" customWidth="1"/>
    <col min="12568" max="12568" width="6" style="414" customWidth="1"/>
    <col min="12569" max="12570" width="5.42578125" style="414" customWidth="1"/>
    <col min="12571" max="12571" width="3.85546875" style="414" customWidth="1"/>
    <col min="12572" max="12572" width="3.42578125" style="414" customWidth="1"/>
    <col min="12573" max="12573" width="3" style="414" customWidth="1"/>
    <col min="12574" max="12574" width="5.7109375" style="414" customWidth="1"/>
    <col min="12575" max="12575" width="5.28515625" style="414" customWidth="1"/>
    <col min="12576" max="12576" width="5" style="414" customWidth="1"/>
    <col min="12577" max="12577" width="0" style="414" hidden="1" customWidth="1"/>
    <col min="12578" max="12578" width="3.7109375" style="414" customWidth="1"/>
    <col min="12579" max="12579" width="5.7109375" style="414" customWidth="1"/>
    <col min="12580" max="12580" width="7.42578125" style="414" customWidth="1"/>
    <col min="12581" max="12581" width="7.85546875" style="414" customWidth="1"/>
    <col min="12582" max="12582" width="7.5703125" style="414" customWidth="1"/>
    <col min="12583" max="12583" width="12.5703125" style="414" customWidth="1"/>
    <col min="12584" max="12584" width="7.85546875" style="414" customWidth="1"/>
    <col min="12585" max="12585" width="11.28515625" style="414" bestFit="1" customWidth="1"/>
    <col min="12586" max="12586" width="5.7109375" style="414" customWidth="1"/>
    <col min="12587" max="12587" width="2.7109375" style="414" customWidth="1"/>
    <col min="12588" max="12588" width="11.42578125" style="414" customWidth="1"/>
    <col min="12589" max="12589" width="10.85546875" style="414" customWidth="1"/>
    <col min="12590" max="12590" width="5.140625" style="414" customWidth="1"/>
    <col min="12591" max="12800" width="9.140625" style="414"/>
    <col min="12801" max="12801" width="2.140625" style="414" customWidth="1"/>
    <col min="12802" max="12802" width="16.42578125" style="414" customWidth="1"/>
    <col min="12803" max="12803" width="3.85546875" style="414" customWidth="1"/>
    <col min="12804" max="12804" width="6.5703125" style="414" customWidth="1"/>
    <col min="12805" max="12805" width="3.28515625" style="414" customWidth="1"/>
    <col min="12806" max="12806" width="6.28515625" style="414" customWidth="1"/>
    <col min="12807" max="12807" width="5.140625" style="414" customWidth="1"/>
    <col min="12808" max="12808" width="4.5703125" style="414" customWidth="1"/>
    <col min="12809" max="12809" width="5.28515625" style="414" customWidth="1"/>
    <col min="12810" max="12810" width="3.28515625" style="414" customWidth="1"/>
    <col min="12811" max="12811" width="3.5703125" style="414" customWidth="1"/>
    <col min="12812" max="12812" width="3" style="414" customWidth="1"/>
    <col min="12813" max="12813" width="5.140625" style="414" customWidth="1"/>
    <col min="12814" max="12814" width="7.140625" style="414" customWidth="1"/>
    <col min="12815" max="12815" width="6.7109375" style="414" customWidth="1"/>
    <col min="12816" max="12816" width="6.28515625" style="414" customWidth="1"/>
    <col min="12817" max="12817" width="5.85546875" style="414" customWidth="1"/>
    <col min="12818" max="12818" width="6.5703125" style="414" customWidth="1"/>
    <col min="12819" max="12819" width="3.5703125" style="414" customWidth="1"/>
    <col min="12820" max="12820" width="6.28515625" style="414" customWidth="1"/>
    <col min="12821" max="12821" width="2.85546875" style="414" customWidth="1"/>
    <col min="12822" max="12822" width="5.7109375" style="414" customWidth="1"/>
    <col min="12823" max="12823" width="6.140625" style="414" customWidth="1"/>
    <col min="12824" max="12824" width="6" style="414" customWidth="1"/>
    <col min="12825" max="12826" width="5.42578125" style="414" customWidth="1"/>
    <col min="12827" max="12827" width="3.85546875" style="414" customWidth="1"/>
    <col min="12828" max="12828" width="3.42578125" style="414" customWidth="1"/>
    <col min="12829" max="12829" width="3" style="414" customWidth="1"/>
    <col min="12830" max="12830" width="5.7109375" style="414" customWidth="1"/>
    <col min="12831" max="12831" width="5.28515625" style="414" customWidth="1"/>
    <col min="12832" max="12832" width="5" style="414" customWidth="1"/>
    <col min="12833" max="12833" width="0" style="414" hidden="1" customWidth="1"/>
    <col min="12834" max="12834" width="3.7109375" style="414" customWidth="1"/>
    <col min="12835" max="12835" width="5.7109375" style="414" customWidth="1"/>
    <col min="12836" max="12836" width="7.42578125" style="414" customWidth="1"/>
    <col min="12837" max="12837" width="7.85546875" style="414" customWidth="1"/>
    <col min="12838" max="12838" width="7.5703125" style="414" customWidth="1"/>
    <col min="12839" max="12839" width="12.5703125" style="414" customWidth="1"/>
    <col min="12840" max="12840" width="7.85546875" style="414" customWidth="1"/>
    <col min="12841" max="12841" width="11.28515625" style="414" bestFit="1" customWidth="1"/>
    <col min="12842" max="12842" width="5.7109375" style="414" customWidth="1"/>
    <col min="12843" max="12843" width="2.7109375" style="414" customWidth="1"/>
    <col min="12844" max="12844" width="11.42578125" style="414" customWidth="1"/>
    <col min="12845" max="12845" width="10.85546875" style="414" customWidth="1"/>
    <col min="12846" max="12846" width="5.140625" style="414" customWidth="1"/>
    <col min="12847" max="13056" width="9.140625" style="414"/>
    <col min="13057" max="13057" width="2.140625" style="414" customWidth="1"/>
    <col min="13058" max="13058" width="16.42578125" style="414" customWidth="1"/>
    <col min="13059" max="13059" width="3.85546875" style="414" customWidth="1"/>
    <col min="13060" max="13060" width="6.5703125" style="414" customWidth="1"/>
    <col min="13061" max="13061" width="3.28515625" style="414" customWidth="1"/>
    <col min="13062" max="13062" width="6.28515625" style="414" customWidth="1"/>
    <col min="13063" max="13063" width="5.140625" style="414" customWidth="1"/>
    <col min="13064" max="13064" width="4.5703125" style="414" customWidth="1"/>
    <col min="13065" max="13065" width="5.28515625" style="414" customWidth="1"/>
    <col min="13066" max="13066" width="3.28515625" style="414" customWidth="1"/>
    <col min="13067" max="13067" width="3.5703125" style="414" customWidth="1"/>
    <col min="13068" max="13068" width="3" style="414" customWidth="1"/>
    <col min="13069" max="13069" width="5.140625" style="414" customWidth="1"/>
    <col min="13070" max="13070" width="7.140625" style="414" customWidth="1"/>
    <col min="13071" max="13071" width="6.7109375" style="414" customWidth="1"/>
    <col min="13072" max="13072" width="6.28515625" style="414" customWidth="1"/>
    <col min="13073" max="13073" width="5.85546875" style="414" customWidth="1"/>
    <col min="13074" max="13074" width="6.5703125" style="414" customWidth="1"/>
    <col min="13075" max="13075" width="3.5703125" style="414" customWidth="1"/>
    <col min="13076" max="13076" width="6.28515625" style="414" customWidth="1"/>
    <col min="13077" max="13077" width="2.85546875" style="414" customWidth="1"/>
    <col min="13078" max="13078" width="5.7109375" style="414" customWidth="1"/>
    <col min="13079" max="13079" width="6.140625" style="414" customWidth="1"/>
    <col min="13080" max="13080" width="6" style="414" customWidth="1"/>
    <col min="13081" max="13082" width="5.42578125" style="414" customWidth="1"/>
    <col min="13083" max="13083" width="3.85546875" style="414" customWidth="1"/>
    <col min="13084" max="13084" width="3.42578125" style="414" customWidth="1"/>
    <col min="13085" max="13085" width="3" style="414" customWidth="1"/>
    <col min="13086" max="13086" width="5.7109375" style="414" customWidth="1"/>
    <col min="13087" max="13087" width="5.28515625" style="414" customWidth="1"/>
    <col min="13088" max="13088" width="5" style="414" customWidth="1"/>
    <col min="13089" max="13089" width="0" style="414" hidden="1" customWidth="1"/>
    <col min="13090" max="13090" width="3.7109375" style="414" customWidth="1"/>
    <col min="13091" max="13091" width="5.7109375" style="414" customWidth="1"/>
    <col min="13092" max="13092" width="7.42578125" style="414" customWidth="1"/>
    <col min="13093" max="13093" width="7.85546875" style="414" customWidth="1"/>
    <col min="13094" max="13094" width="7.5703125" style="414" customWidth="1"/>
    <col min="13095" max="13095" width="12.5703125" style="414" customWidth="1"/>
    <col min="13096" max="13096" width="7.85546875" style="414" customWidth="1"/>
    <col min="13097" max="13097" width="11.28515625" style="414" bestFit="1" customWidth="1"/>
    <col min="13098" max="13098" width="5.7109375" style="414" customWidth="1"/>
    <col min="13099" max="13099" width="2.7109375" style="414" customWidth="1"/>
    <col min="13100" max="13100" width="11.42578125" style="414" customWidth="1"/>
    <col min="13101" max="13101" width="10.85546875" style="414" customWidth="1"/>
    <col min="13102" max="13102" width="5.140625" style="414" customWidth="1"/>
    <col min="13103" max="13312" width="9.140625" style="414"/>
    <col min="13313" max="13313" width="2.140625" style="414" customWidth="1"/>
    <col min="13314" max="13314" width="16.42578125" style="414" customWidth="1"/>
    <col min="13315" max="13315" width="3.85546875" style="414" customWidth="1"/>
    <col min="13316" max="13316" width="6.5703125" style="414" customWidth="1"/>
    <col min="13317" max="13317" width="3.28515625" style="414" customWidth="1"/>
    <col min="13318" max="13318" width="6.28515625" style="414" customWidth="1"/>
    <col min="13319" max="13319" width="5.140625" style="414" customWidth="1"/>
    <col min="13320" max="13320" width="4.5703125" style="414" customWidth="1"/>
    <col min="13321" max="13321" width="5.28515625" style="414" customWidth="1"/>
    <col min="13322" max="13322" width="3.28515625" style="414" customWidth="1"/>
    <col min="13323" max="13323" width="3.5703125" style="414" customWidth="1"/>
    <col min="13324" max="13324" width="3" style="414" customWidth="1"/>
    <col min="13325" max="13325" width="5.140625" style="414" customWidth="1"/>
    <col min="13326" max="13326" width="7.140625" style="414" customWidth="1"/>
    <col min="13327" max="13327" width="6.7109375" style="414" customWidth="1"/>
    <col min="13328" max="13328" width="6.28515625" style="414" customWidth="1"/>
    <col min="13329" max="13329" width="5.85546875" style="414" customWidth="1"/>
    <col min="13330" max="13330" width="6.5703125" style="414" customWidth="1"/>
    <col min="13331" max="13331" width="3.5703125" style="414" customWidth="1"/>
    <col min="13332" max="13332" width="6.28515625" style="414" customWidth="1"/>
    <col min="13333" max="13333" width="2.85546875" style="414" customWidth="1"/>
    <col min="13334" max="13334" width="5.7109375" style="414" customWidth="1"/>
    <col min="13335" max="13335" width="6.140625" style="414" customWidth="1"/>
    <col min="13336" max="13336" width="6" style="414" customWidth="1"/>
    <col min="13337" max="13338" width="5.42578125" style="414" customWidth="1"/>
    <col min="13339" max="13339" width="3.85546875" style="414" customWidth="1"/>
    <col min="13340" max="13340" width="3.42578125" style="414" customWidth="1"/>
    <col min="13341" max="13341" width="3" style="414" customWidth="1"/>
    <col min="13342" max="13342" width="5.7109375" style="414" customWidth="1"/>
    <col min="13343" max="13343" width="5.28515625" style="414" customWidth="1"/>
    <col min="13344" max="13344" width="5" style="414" customWidth="1"/>
    <col min="13345" max="13345" width="0" style="414" hidden="1" customWidth="1"/>
    <col min="13346" max="13346" width="3.7109375" style="414" customWidth="1"/>
    <col min="13347" max="13347" width="5.7109375" style="414" customWidth="1"/>
    <col min="13348" max="13348" width="7.42578125" style="414" customWidth="1"/>
    <col min="13349" max="13349" width="7.85546875" style="414" customWidth="1"/>
    <col min="13350" max="13350" width="7.5703125" style="414" customWidth="1"/>
    <col min="13351" max="13351" width="12.5703125" style="414" customWidth="1"/>
    <col min="13352" max="13352" width="7.85546875" style="414" customWidth="1"/>
    <col min="13353" max="13353" width="11.28515625" style="414" bestFit="1" customWidth="1"/>
    <col min="13354" max="13354" width="5.7109375" style="414" customWidth="1"/>
    <col min="13355" max="13355" width="2.7109375" style="414" customWidth="1"/>
    <col min="13356" max="13356" width="11.42578125" style="414" customWidth="1"/>
    <col min="13357" max="13357" width="10.85546875" style="414" customWidth="1"/>
    <col min="13358" max="13358" width="5.140625" style="414" customWidth="1"/>
    <col min="13359" max="13568" width="9.140625" style="414"/>
    <col min="13569" max="13569" width="2.140625" style="414" customWidth="1"/>
    <col min="13570" max="13570" width="16.42578125" style="414" customWidth="1"/>
    <col min="13571" max="13571" width="3.85546875" style="414" customWidth="1"/>
    <col min="13572" max="13572" width="6.5703125" style="414" customWidth="1"/>
    <col min="13573" max="13573" width="3.28515625" style="414" customWidth="1"/>
    <col min="13574" max="13574" width="6.28515625" style="414" customWidth="1"/>
    <col min="13575" max="13575" width="5.140625" style="414" customWidth="1"/>
    <col min="13576" max="13576" width="4.5703125" style="414" customWidth="1"/>
    <col min="13577" max="13577" width="5.28515625" style="414" customWidth="1"/>
    <col min="13578" max="13578" width="3.28515625" style="414" customWidth="1"/>
    <col min="13579" max="13579" width="3.5703125" style="414" customWidth="1"/>
    <col min="13580" max="13580" width="3" style="414" customWidth="1"/>
    <col min="13581" max="13581" width="5.140625" style="414" customWidth="1"/>
    <col min="13582" max="13582" width="7.140625" style="414" customWidth="1"/>
    <col min="13583" max="13583" width="6.7109375" style="414" customWidth="1"/>
    <col min="13584" max="13584" width="6.28515625" style="414" customWidth="1"/>
    <col min="13585" max="13585" width="5.85546875" style="414" customWidth="1"/>
    <col min="13586" max="13586" width="6.5703125" style="414" customWidth="1"/>
    <col min="13587" max="13587" width="3.5703125" style="414" customWidth="1"/>
    <col min="13588" max="13588" width="6.28515625" style="414" customWidth="1"/>
    <col min="13589" max="13589" width="2.85546875" style="414" customWidth="1"/>
    <col min="13590" max="13590" width="5.7109375" style="414" customWidth="1"/>
    <col min="13591" max="13591" width="6.140625" style="414" customWidth="1"/>
    <col min="13592" max="13592" width="6" style="414" customWidth="1"/>
    <col min="13593" max="13594" width="5.42578125" style="414" customWidth="1"/>
    <col min="13595" max="13595" width="3.85546875" style="414" customWidth="1"/>
    <col min="13596" max="13596" width="3.42578125" style="414" customWidth="1"/>
    <col min="13597" max="13597" width="3" style="414" customWidth="1"/>
    <col min="13598" max="13598" width="5.7109375" style="414" customWidth="1"/>
    <col min="13599" max="13599" width="5.28515625" style="414" customWidth="1"/>
    <col min="13600" max="13600" width="5" style="414" customWidth="1"/>
    <col min="13601" max="13601" width="0" style="414" hidden="1" customWidth="1"/>
    <col min="13602" max="13602" width="3.7109375" style="414" customWidth="1"/>
    <col min="13603" max="13603" width="5.7109375" style="414" customWidth="1"/>
    <col min="13604" max="13604" width="7.42578125" style="414" customWidth="1"/>
    <col min="13605" max="13605" width="7.85546875" style="414" customWidth="1"/>
    <col min="13606" max="13606" width="7.5703125" style="414" customWidth="1"/>
    <col min="13607" max="13607" width="12.5703125" style="414" customWidth="1"/>
    <col min="13608" max="13608" width="7.85546875" style="414" customWidth="1"/>
    <col min="13609" max="13609" width="11.28515625" style="414" bestFit="1" customWidth="1"/>
    <col min="13610" max="13610" width="5.7109375" style="414" customWidth="1"/>
    <col min="13611" max="13611" width="2.7109375" style="414" customWidth="1"/>
    <col min="13612" max="13612" width="11.42578125" style="414" customWidth="1"/>
    <col min="13613" max="13613" width="10.85546875" style="414" customWidth="1"/>
    <col min="13614" max="13614" width="5.140625" style="414" customWidth="1"/>
    <col min="13615" max="13824" width="9.140625" style="414"/>
    <col min="13825" max="13825" width="2.140625" style="414" customWidth="1"/>
    <col min="13826" max="13826" width="16.42578125" style="414" customWidth="1"/>
    <col min="13827" max="13827" width="3.85546875" style="414" customWidth="1"/>
    <col min="13828" max="13828" width="6.5703125" style="414" customWidth="1"/>
    <col min="13829" max="13829" width="3.28515625" style="414" customWidth="1"/>
    <col min="13830" max="13830" width="6.28515625" style="414" customWidth="1"/>
    <col min="13831" max="13831" width="5.140625" style="414" customWidth="1"/>
    <col min="13832" max="13832" width="4.5703125" style="414" customWidth="1"/>
    <col min="13833" max="13833" width="5.28515625" style="414" customWidth="1"/>
    <col min="13834" max="13834" width="3.28515625" style="414" customWidth="1"/>
    <col min="13835" max="13835" width="3.5703125" style="414" customWidth="1"/>
    <col min="13836" max="13836" width="3" style="414" customWidth="1"/>
    <col min="13837" max="13837" width="5.140625" style="414" customWidth="1"/>
    <col min="13838" max="13838" width="7.140625" style="414" customWidth="1"/>
    <col min="13839" max="13839" width="6.7109375" style="414" customWidth="1"/>
    <col min="13840" max="13840" width="6.28515625" style="414" customWidth="1"/>
    <col min="13841" max="13841" width="5.85546875" style="414" customWidth="1"/>
    <col min="13842" max="13842" width="6.5703125" style="414" customWidth="1"/>
    <col min="13843" max="13843" width="3.5703125" style="414" customWidth="1"/>
    <col min="13844" max="13844" width="6.28515625" style="414" customWidth="1"/>
    <col min="13845" max="13845" width="2.85546875" style="414" customWidth="1"/>
    <col min="13846" max="13846" width="5.7109375" style="414" customWidth="1"/>
    <col min="13847" max="13847" width="6.140625" style="414" customWidth="1"/>
    <col min="13848" max="13848" width="6" style="414" customWidth="1"/>
    <col min="13849" max="13850" width="5.42578125" style="414" customWidth="1"/>
    <col min="13851" max="13851" width="3.85546875" style="414" customWidth="1"/>
    <col min="13852" max="13852" width="3.42578125" style="414" customWidth="1"/>
    <col min="13853" max="13853" width="3" style="414" customWidth="1"/>
    <col min="13854" max="13854" width="5.7109375" style="414" customWidth="1"/>
    <col min="13855" max="13855" width="5.28515625" style="414" customWidth="1"/>
    <col min="13856" max="13856" width="5" style="414" customWidth="1"/>
    <col min="13857" max="13857" width="0" style="414" hidden="1" customWidth="1"/>
    <col min="13858" max="13858" width="3.7109375" style="414" customWidth="1"/>
    <col min="13859" max="13859" width="5.7109375" style="414" customWidth="1"/>
    <col min="13860" max="13860" width="7.42578125" style="414" customWidth="1"/>
    <col min="13861" max="13861" width="7.85546875" style="414" customWidth="1"/>
    <col min="13862" max="13862" width="7.5703125" style="414" customWidth="1"/>
    <col min="13863" max="13863" width="12.5703125" style="414" customWidth="1"/>
    <col min="13864" max="13864" width="7.85546875" style="414" customWidth="1"/>
    <col min="13865" max="13865" width="11.28515625" style="414" bestFit="1" customWidth="1"/>
    <col min="13866" max="13866" width="5.7109375" style="414" customWidth="1"/>
    <col min="13867" max="13867" width="2.7109375" style="414" customWidth="1"/>
    <col min="13868" max="13868" width="11.42578125" style="414" customWidth="1"/>
    <col min="13869" max="13869" width="10.85546875" style="414" customWidth="1"/>
    <col min="13870" max="13870" width="5.140625" style="414" customWidth="1"/>
    <col min="13871" max="14080" width="9.140625" style="414"/>
    <col min="14081" max="14081" width="2.140625" style="414" customWidth="1"/>
    <col min="14082" max="14082" width="16.42578125" style="414" customWidth="1"/>
    <col min="14083" max="14083" width="3.85546875" style="414" customWidth="1"/>
    <col min="14084" max="14084" width="6.5703125" style="414" customWidth="1"/>
    <col min="14085" max="14085" width="3.28515625" style="414" customWidth="1"/>
    <col min="14086" max="14086" width="6.28515625" style="414" customWidth="1"/>
    <col min="14087" max="14087" width="5.140625" style="414" customWidth="1"/>
    <col min="14088" max="14088" width="4.5703125" style="414" customWidth="1"/>
    <col min="14089" max="14089" width="5.28515625" style="414" customWidth="1"/>
    <col min="14090" max="14090" width="3.28515625" style="414" customWidth="1"/>
    <col min="14091" max="14091" width="3.5703125" style="414" customWidth="1"/>
    <col min="14092" max="14092" width="3" style="414" customWidth="1"/>
    <col min="14093" max="14093" width="5.140625" style="414" customWidth="1"/>
    <col min="14094" max="14094" width="7.140625" style="414" customWidth="1"/>
    <col min="14095" max="14095" width="6.7109375" style="414" customWidth="1"/>
    <col min="14096" max="14096" width="6.28515625" style="414" customWidth="1"/>
    <col min="14097" max="14097" width="5.85546875" style="414" customWidth="1"/>
    <col min="14098" max="14098" width="6.5703125" style="414" customWidth="1"/>
    <col min="14099" max="14099" width="3.5703125" style="414" customWidth="1"/>
    <col min="14100" max="14100" width="6.28515625" style="414" customWidth="1"/>
    <col min="14101" max="14101" width="2.85546875" style="414" customWidth="1"/>
    <col min="14102" max="14102" width="5.7109375" style="414" customWidth="1"/>
    <col min="14103" max="14103" width="6.140625" style="414" customWidth="1"/>
    <col min="14104" max="14104" width="6" style="414" customWidth="1"/>
    <col min="14105" max="14106" width="5.42578125" style="414" customWidth="1"/>
    <col min="14107" max="14107" width="3.85546875" style="414" customWidth="1"/>
    <col min="14108" max="14108" width="3.42578125" style="414" customWidth="1"/>
    <col min="14109" max="14109" width="3" style="414" customWidth="1"/>
    <col min="14110" max="14110" width="5.7109375" style="414" customWidth="1"/>
    <col min="14111" max="14111" width="5.28515625" style="414" customWidth="1"/>
    <col min="14112" max="14112" width="5" style="414" customWidth="1"/>
    <col min="14113" max="14113" width="0" style="414" hidden="1" customWidth="1"/>
    <col min="14114" max="14114" width="3.7109375" style="414" customWidth="1"/>
    <col min="14115" max="14115" width="5.7109375" style="414" customWidth="1"/>
    <col min="14116" max="14116" width="7.42578125" style="414" customWidth="1"/>
    <col min="14117" max="14117" width="7.85546875" style="414" customWidth="1"/>
    <col min="14118" max="14118" width="7.5703125" style="414" customWidth="1"/>
    <col min="14119" max="14119" width="12.5703125" style="414" customWidth="1"/>
    <col min="14120" max="14120" width="7.85546875" style="414" customWidth="1"/>
    <col min="14121" max="14121" width="11.28515625" style="414" bestFit="1" customWidth="1"/>
    <col min="14122" max="14122" width="5.7109375" style="414" customWidth="1"/>
    <col min="14123" max="14123" width="2.7109375" style="414" customWidth="1"/>
    <col min="14124" max="14124" width="11.42578125" style="414" customWidth="1"/>
    <col min="14125" max="14125" width="10.85546875" style="414" customWidth="1"/>
    <col min="14126" max="14126" width="5.140625" style="414" customWidth="1"/>
    <col min="14127" max="14336" width="9.140625" style="414"/>
    <col min="14337" max="14337" width="2.140625" style="414" customWidth="1"/>
    <col min="14338" max="14338" width="16.42578125" style="414" customWidth="1"/>
    <col min="14339" max="14339" width="3.85546875" style="414" customWidth="1"/>
    <col min="14340" max="14340" width="6.5703125" style="414" customWidth="1"/>
    <col min="14341" max="14341" width="3.28515625" style="414" customWidth="1"/>
    <col min="14342" max="14342" width="6.28515625" style="414" customWidth="1"/>
    <col min="14343" max="14343" width="5.140625" style="414" customWidth="1"/>
    <col min="14344" max="14344" width="4.5703125" style="414" customWidth="1"/>
    <col min="14345" max="14345" width="5.28515625" style="414" customWidth="1"/>
    <col min="14346" max="14346" width="3.28515625" style="414" customWidth="1"/>
    <col min="14347" max="14347" width="3.5703125" style="414" customWidth="1"/>
    <col min="14348" max="14348" width="3" style="414" customWidth="1"/>
    <col min="14349" max="14349" width="5.140625" style="414" customWidth="1"/>
    <col min="14350" max="14350" width="7.140625" style="414" customWidth="1"/>
    <col min="14351" max="14351" width="6.7109375" style="414" customWidth="1"/>
    <col min="14352" max="14352" width="6.28515625" style="414" customWidth="1"/>
    <col min="14353" max="14353" width="5.85546875" style="414" customWidth="1"/>
    <col min="14354" max="14354" width="6.5703125" style="414" customWidth="1"/>
    <col min="14355" max="14355" width="3.5703125" style="414" customWidth="1"/>
    <col min="14356" max="14356" width="6.28515625" style="414" customWidth="1"/>
    <col min="14357" max="14357" width="2.85546875" style="414" customWidth="1"/>
    <col min="14358" max="14358" width="5.7109375" style="414" customWidth="1"/>
    <col min="14359" max="14359" width="6.140625" style="414" customWidth="1"/>
    <col min="14360" max="14360" width="6" style="414" customWidth="1"/>
    <col min="14361" max="14362" width="5.42578125" style="414" customWidth="1"/>
    <col min="14363" max="14363" width="3.85546875" style="414" customWidth="1"/>
    <col min="14364" max="14364" width="3.42578125" style="414" customWidth="1"/>
    <col min="14365" max="14365" width="3" style="414" customWidth="1"/>
    <col min="14366" max="14366" width="5.7109375" style="414" customWidth="1"/>
    <col min="14367" max="14367" width="5.28515625" style="414" customWidth="1"/>
    <col min="14368" max="14368" width="5" style="414" customWidth="1"/>
    <col min="14369" max="14369" width="0" style="414" hidden="1" customWidth="1"/>
    <col min="14370" max="14370" width="3.7109375" style="414" customWidth="1"/>
    <col min="14371" max="14371" width="5.7109375" style="414" customWidth="1"/>
    <col min="14372" max="14372" width="7.42578125" style="414" customWidth="1"/>
    <col min="14373" max="14373" width="7.85546875" style="414" customWidth="1"/>
    <col min="14374" max="14374" width="7.5703125" style="414" customWidth="1"/>
    <col min="14375" max="14375" width="12.5703125" style="414" customWidth="1"/>
    <col min="14376" max="14376" width="7.85546875" style="414" customWidth="1"/>
    <col min="14377" max="14377" width="11.28515625" style="414" bestFit="1" customWidth="1"/>
    <col min="14378" max="14378" width="5.7109375" style="414" customWidth="1"/>
    <col min="14379" max="14379" width="2.7109375" style="414" customWidth="1"/>
    <col min="14380" max="14380" width="11.42578125" style="414" customWidth="1"/>
    <col min="14381" max="14381" width="10.85546875" style="414" customWidth="1"/>
    <col min="14382" max="14382" width="5.140625" style="414" customWidth="1"/>
    <col min="14383" max="14592" width="9.140625" style="414"/>
    <col min="14593" max="14593" width="2.140625" style="414" customWidth="1"/>
    <col min="14594" max="14594" width="16.42578125" style="414" customWidth="1"/>
    <col min="14595" max="14595" width="3.85546875" style="414" customWidth="1"/>
    <col min="14596" max="14596" width="6.5703125" style="414" customWidth="1"/>
    <col min="14597" max="14597" width="3.28515625" style="414" customWidth="1"/>
    <col min="14598" max="14598" width="6.28515625" style="414" customWidth="1"/>
    <col min="14599" max="14599" width="5.140625" style="414" customWidth="1"/>
    <col min="14600" max="14600" width="4.5703125" style="414" customWidth="1"/>
    <col min="14601" max="14601" width="5.28515625" style="414" customWidth="1"/>
    <col min="14602" max="14602" width="3.28515625" style="414" customWidth="1"/>
    <col min="14603" max="14603" width="3.5703125" style="414" customWidth="1"/>
    <col min="14604" max="14604" width="3" style="414" customWidth="1"/>
    <col min="14605" max="14605" width="5.140625" style="414" customWidth="1"/>
    <col min="14606" max="14606" width="7.140625" style="414" customWidth="1"/>
    <col min="14607" max="14607" width="6.7109375" style="414" customWidth="1"/>
    <col min="14608" max="14608" width="6.28515625" style="414" customWidth="1"/>
    <col min="14609" max="14609" width="5.85546875" style="414" customWidth="1"/>
    <col min="14610" max="14610" width="6.5703125" style="414" customWidth="1"/>
    <col min="14611" max="14611" width="3.5703125" style="414" customWidth="1"/>
    <col min="14612" max="14612" width="6.28515625" style="414" customWidth="1"/>
    <col min="14613" max="14613" width="2.85546875" style="414" customWidth="1"/>
    <col min="14614" max="14614" width="5.7109375" style="414" customWidth="1"/>
    <col min="14615" max="14615" width="6.140625" style="414" customWidth="1"/>
    <col min="14616" max="14616" width="6" style="414" customWidth="1"/>
    <col min="14617" max="14618" width="5.42578125" style="414" customWidth="1"/>
    <col min="14619" max="14619" width="3.85546875" style="414" customWidth="1"/>
    <col min="14620" max="14620" width="3.42578125" style="414" customWidth="1"/>
    <col min="14621" max="14621" width="3" style="414" customWidth="1"/>
    <col min="14622" max="14622" width="5.7109375" style="414" customWidth="1"/>
    <col min="14623" max="14623" width="5.28515625" style="414" customWidth="1"/>
    <col min="14624" max="14624" width="5" style="414" customWidth="1"/>
    <col min="14625" max="14625" width="0" style="414" hidden="1" customWidth="1"/>
    <col min="14626" max="14626" width="3.7109375" style="414" customWidth="1"/>
    <col min="14627" max="14627" width="5.7109375" style="414" customWidth="1"/>
    <col min="14628" max="14628" width="7.42578125" style="414" customWidth="1"/>
    <col min="14629" max="14629" width="7.85546875" style="414" customWidth="1"/>
    <col min="14630" max="14630" width="7.5703125" style="414" customWidth="1"/>
    <col min="14631" max="14631" width="12.5703125" style="414" customWidth="1"/>
    <col min="14632" max="14632" width="7.85546875" style="414" customWidth="1"/>
    <col min="14633" max="14633" width="11.28515625" style="414" bestFit="1" customWidth="1"/>
    <col min="14634" max="14634" width="5.7109375" style="414" customWidth="1"/>
    <col min="14635" max="14635" width="2.7109375" style="414" customWidth="1"/>
    <col min="14636" max="14636" width="11.42578125" style="414" customWidth="1"/>
    <col min="14637" max="14637" width="10.85546875" style="414" customWidth="1"/>
    <col min="14638" max="14638" width="5.140625" style="414" customWidth="1"/>
    <col min="14639" max="14848" width="9.140625" style="414"/>
    <col min="14849" max="14849" width="2.140625" style="414" customWidth="1"/>
    <col min="14850" max="14850" width="16.42578125" style="414" customWidth="1"/>
    <col min="14851" max="14851" width="3.85546875" style="414" customWidth="1"/>
    <col min="14852" max="14852" width="6.5703125" style="414" customWidth="1"/>
    <col min="14853" max="14853" width="3.28515625" style="414" customWidth="1"/>
    <col min="14854" max="14854" width="6.28515625" style="414" customWidth="1"/>
    <col min="14855" max="14855" width="5.140625" style="414" customWidth="1"/>
    <col min="14856" max="14856" width="4.5703125" style="414" customWidth="1"/>
    <col min="14857" max="14857" width="5.28515625" style="414" customWidth="1"/>
    <col min="14858" max="14858" width="3.28515625" style="414" customWidth="1"/>
    <col min="14859" max="14859" width="3.5703125" style="414" customWidth="1"/>
    <col min="14860" max="14860" width="3" style="414" customWidth="1"/>
    <col min="14861" max="14861" width="5.140625" style="414" customWidth="1"/>
    <col min="14862" max="14862" width="7.140625" style="414" customWidth="1"/>
    <col min="14863" max="14863" width="6.7109375" style="414" customWidth="1"/>
    <col min="14864" max="14864" width="6.28515625" style="414" customWidth="1"/>
    <col min="14865" max="14865" width="5.85546875" style="414" customWidth="1"/>
    <col min="14866" max="14866" width="6.5703125" style="414" customWidth="1"/>
    <col min="14867" max="14867" width="3.5703125" style="414" customWidth="1"/>
    <col min="14868" max="14868" width="6.28515625" style="414" customWidth="1"/>
    <col min="14869" max="14869" width="2.85546875" style="414" customWidth="1"/>
    <col min="14870" max="14870" width="5.7109375" style="414" customWidth="1"/>
    <col min="14871" max="14871" width="6.140625" style="414" customWidth="1"/>
    <col min="14872" max="14872" width="6" style="414" customWidth="1"/>
    <col min="14873" max="14874" width="5.42578125" style="414" customWidth="1"/>
    <col min="14875" max="14875" width="3.85546875" style="414" customWidth="1"/>
    <col min="14876" max="14876" width="3.42578125" style="414" customWidth="1"/>
    <col min="14877" max="14877" width="3" style="414" customWidth="1"/>
    <col min="14878" max="14878" width="5.7109375" style="414" customWidth="1"/>
    <col min="14879" max="14879" width="5.28515625" style="414" customWidth="1"/>
    <col min="14880" max="14880" width="5" style="414" customWidth="1"/>
    <col min="14881" max="14881" width="0" style="414" hidden="1" customWidth="1"/>
    <col min="14882" max="14882" width="3.7109375" style="414" customWidth="1"/>
    <col min="14883" max="14883" width="5.7109375" style="414" customWidth="1"/>
    <col min="14884" max="14884" width="7.42578125" style="414" customWidth="1"/>
    <col min="14885" max="14885" width="7.85546875" style="414" customWidth="1"/>
    <col min="14886" max="14886" width="7.5703125" style="414" customWidth="1"/>
    <col min="14887" max="14887" width="12.5703125" style="414" customWidth="1"/>
    <col min="14888" max="14888" width="7.85546875" style="414" customWidth="1"/>
    <col min="14889" max="14889" width="11.28515625" style="414" bestFit="1" customWidth="1"/>
    <col min="14890" max="14890" width="5.7109375" style="414" customWidth="1"/>
    <col min="14891" max="14891" width="2.7109375" style="414" customWidth="1"/>
    <col min="14892" max="14892" width="11.42578125" style="414" customWidth="1"/>
    <col min="14893" max="14893" width="10.85546875" style="414" customWidth="1"/>
    <col min="14894" max="14894" width="5.140625" style="414" customWidth="1"/>
    <col min="14895" max="15104" width="9.140625" style="414"/>
    <col min="15105" max="15105" width="2.140625" style="414" customWidth="1"/>
    <col min="15106" max="15106" width="16.42578125" style="414" customWidth="1"/>
    <col min="15107" max="15107" width="3.85546875" style="414" customWidth="1"/>
    <col min="15108" max="15108" width="6.5703125" style="414" customWidth="1"/>
    <col min="15109" max="15109" width="3.28515625" style="414" customWidth="1"/>
    <col min="15110" max="15110" width="6.28515625" style="414" customWidth="1"/>
    <col min="15111" max="15111" width="5.140625" style="414" customWidth="1"/>
    <col min="15112" max="15112" width="4.5703125" style="414" customWidth="1"/>
    <col min="15113" max="15113" width="5.28515625" style="414" customWidth="1"/>
    <col min="15114" max="15114" width="3.28515625" style="414" customWidth="1"/>
    <col min="15115" max="15115" width="3.5703125" style="414" customWidth="1"/>
    <col min="15116" max="15116" width="3" style="414" customWidth="1"/>
    <col min="15117" max="15117" width="5.140625" style="414" customWidth="1"/>
    <col min="15118" max="15118" width="7.140625" style="414" customWidth="1"/>
    <col min="15119" max="15119" width="6.7109375" style="414" customWidth="1"/>
    <col min="15120" max="15120" width="6.28515625" style="414" customWidth="1"/>
    <col min="15121" max="15121" width="5.85546875" style="414" customWidth="1"/>
    <col min="15122" max="15122" width="6.5703125" style="414" customWidth="1"/>
    <col min="15123" max="15123" width="3.5703125" style="414" customWidth="1"/>
    <col min="15124" max="15124" width="6.28515625" style="414" customWidth="1"/>
    <col min="15125" max="15125" width="2.85546875" style="414" customWidth="1"/>
    <col min="15126" max="15126" width="5.7109375" style="414" customWidth="1"/>
    <col min="15127" max="15127" width="6.140625" style="414" customWidth="1"/>
    <col min="15128" max="15128" width="6" style="414" customWidth="1"/>
    <col min="15129" max="15130" width="5.42578125" style="414" customWidth="1"/>
    <col min="15131" max="15131" width="3.85546875" style="414" customWidth="1"/>
    <col min="15132" max="15132" width="3.42578125" style="414" customWidth="1"/>
    <col min="15133" max="15133" width="3" style="414" customWidth="1"/>
    <col min="15134" max="15134" width="5.7109375" style="414" customWidth="1"/>
    <col min="15135" max="15135" width="5.28515625" style="414" customWidth="1"/>
    <col min="15136" max="15136" width="5" style="414" customWidth="1"/>
    <col min="15137" max="15137" width="0" style="414" hidden="1" customWidth="1"/>
    <col min="15138" max="15138" width="3.7109375" style="414" customWidth="1"/>
    <col min="15139" max="15139" width="5.7109375" style="414" customWidth="1"/>
    <col min="15140" max="15140" width="7.42578125" style="414" customWidth="1"/>
    <col min="15141" max="15141" width="7.85546875" style="414" customWidth="1"/>
    <col min="15142" max="15142" width="7.5703125" style="414" customWidth="1"/>
    <col min="15143" max="15143" width="12.5703125" style="414" customWidth="1"/>
    <col min="15144" max="15144" width="7.85546875" style="414" customWidth="1"/>
    <col min="15145" max="15145" width="11.28515625" style="414" bestFit="1" customWidth="1"/>
    <col min="15146" max="15146" width="5.7109375" style="414" customWidth="1"/>
    <col min="15147" max="15147" width="2.7109375" style="414" customWidth="1"/>
    <col min="15148" max="15148" width="11.42578125" style="414" customWidth="1"/>
    <col min="15149" max="15149" width="10.85546875" style="414" customWidth="1"/>
    <col min="15150" max="15150" width="5.140625" style="414" customWidth="1"/>
    <col min="15151" max="15360" width="9.140625" style="414"/>
    <col min="15361" max="15361" width="2.140625" style="414" customWidth="1"/>
    <col min="15362" max="15362" width="16.42578125" style="414" customWidth="1"/>
    <col min="15363" max="15363" width="3.85546875" style="414" customWidth="1"/>
    <col min="15364" max="15364" width="6.5703125" style="414" customWidth="1"/>
    <col min="15365" max="15365" width="3.28515625" style="414" customWidth="1"/>
    <col min="15366" max="15366" width="6.28515625" style="414" customWidth="1"/>
    <col min="15367" max="15367" width="5.140625" style="414" customWidth="1"/>
    <col min="15368" max="15368" width="4.5703125" style="414" customWidth="1"/>
    <col min="15369" max="15369" width="5.28515625" style="414" customWidth="1"/>
    <col min="15370" max="15370" width="3.28515625" style="414" customWidth="1"/>
    <col min="15371" max="15371" width="3.5703125" style="414" customWidth="1"/>
    <col min="15372" max="15372" width="3" style="414" customWidth="1"/>
    <col min="15373" max="15373" width="5.140625" style="414" customWidth="1"/>
    <col min="15374" max="15374" width="7.140625" style="414" customWidth="1"/>
    <col min="15375" max="15375" width="6.7109375" style="414" customWidth="1"/>
    <col min="15376" max="15376" width="6.28515625" style="414" customWidth="1"/>
    <col min="15377" max="15377" width="5.85546875" style="414" customWidth="1"/>
    <col min="15378" max="15378" width="6.5703125" style="414" customWidth="1"/>
    <col min="15379" max="15379" width="3.5703125" style="414" customWidth="1"/>
    <col min="15380" max="15380" width="6.28515625" style="414" customWidth="1"/>
    <col min="15381" max="15381" width="2.85546875" style="414" customWidth="1"/>
    <col min="15382" max="15382" width="5.7109375" style="414" customWidth="1"/>
    <col min="15383" max="15383" width="6.140625" style="414" customWidth="1"/>
    <col min="15384" max="15384" width="6" style="414" customWidth="1"/>
    <col min="15385" max="15386" width="5.42578125" style="414" customWidth="1"/>
    <col min="15387" max="15387" width="3.85546875" style="414" customWidth="1"/>
    <col min="15388" max="15388" width="3.42578125" style="414" customWidth="1"/>
    <col min="15389" max="15389" width="3" style="414" customWidth="1"/>
    <col min="15390" max="15390" width="5.7109375" style="414" customWidth="1"/>
    <col min="15391" max="15391" width="5.28515625" style="414" customWidth="1"/>
    <col min="15392" max="15392" width="5" style="414" customWidth="1"/>
    <col min="15393" max="15393" width="0" style="414" hidden="1" customWidth="1"/>
    <col min="15394" max="15394" width="3.7109375" style="414" customWidth="1"/>
    <col min="15395" max="15395" width="5.7109375" style="414" customWidth="1"/>
    <col min="15396" max="15396" width="7.42578125" style="414" customWidth="1"/>
    <col min="15397" max="15397" width="7.85546875" style="414" customWidth="1"/>
    <col min="15398" max="15398" width="7.5703125" style="414" customWidth="1"/>
    <col min="15399" max="15399" width="12.5703125" style="414" customWidth="1"/>
    <col min="15400" max="15400" width="7.85546875" style="414" customWidth="1"/>
    <col min="15401" max="15401" width="11.28515625" style="414" bestFit="1" customWidth="1"/>
    <col min="15402" max="15402" width="5.7109375" style="414" customWidth="1"/>
    <col min="15403" max="15403" width="2.7109375" style="414" customWidth="1"/>
    <col min="15404" max="15404" width="11.42578125" style="414" customWidth="1"/>
    <col min="15405" max="15405" width="10.85546875" style="414" customWidth="1"/>
    <col min="15406" max="15406" width="5.140625" style="414" customWidth="1"/>
    <col min="15407" max="15616" width="9.140625" style="414"/>
    <col min="15617" max="15617" width="2.140625" style="414" customWidth="1"/>
    <col min="15618" max="15618" width="16.42578125" style="414" customWidth="1"/>
    <col min="15619" max="15619" width="3.85546875" style="414" customWidth="1"/>
    <col min="15620" max="15620" width="6.5703125" style="414" customWidth="1"/>
    <col min="15621" max="15621" width="3.28515625" style="414" customWidth="1"/>
    <col min="15622" max="15622" width="6.28515625" style="414" customWidth="1"/>
    <col min="15623" max="15623" width="5.140625" style="414" customWidth="1"/>
    <col min="15624" max="15624" width="4.5703125" style="414" customWidth="1"/>
    <col min="15625" max="15625" width="5.28515625" style="414" customWidth="1"/>
    <col min="15626" max="15626" width="3.28515625" style="414" customWidth="1"/>
    <col min="15627" max="15627" width="3.5703125" style="414" customWidth="1"/>
    <col min="15628" max="15628" width="3" style="414" customWidth="1"/>
    <col min="15629" max="15629" width="5.140625" style="414" customWidth="1"/>
    <col min="15630" max="15630" width="7.140625" style="414" customWidth="1"/>
    <col min="15631" max="15631" width="6.7109375" style="414" customWidth="1"/>
    <col min="15632" max="15632" width="6.28515625" style="414" customWidth="1"/>
    <col min="15633" max="15633" width="5.85546875" style="414" customWidth="1"/>
    <col min="15634" max="15634" width="6.5703125" style="414" customWidth="1"/>
    <col min="15635" max="15635" width="3.5703125" style="414" customWidth="1"/>
    <col min="15636" max="15636" width="6.28515625" style="414" customWidth="1"/>
    <col min="15637" max="15637" width="2.85546875" style="414" customWidth="1"/>
    <col min="15638" max="15638" width="5.7109375" style="414" customWidth="1"/>
    <col min="15639" max="15639" width="6.140625" style="414" customWidth="1"/>
    <col min="15640" max="15640" width="6" style="414" customWidth="1"/>
    <col min="15641" max="15642" width="5.42578125" style="414" customWidth="1"/>
    <col min="15643" max="15643" width="3.85546875" style="414" customWidth="1"/>
    <col min="15644" max="15644" width="3.42578125" style="414" customWidth="1"/>
    <col min="15645" max="15645" width="3" style="414" customWidth="1"/>
    <col min="15646" max="15646" width="5.7109375" style="414" customWidth="1"/>
    <col min="15647" max="15647" width="5.28515625" style="414" customWidth="1"/>
    <col min="15648" max="15648" width="5" style="414" customWidth="1"/>
    <col min="15649" max="15649" width="0" style="414" hidden="1" customWidth="1"/>
    <col min="15650" max="15650" width="3.7109375" style="414" customWidth="1"/>
    <col min="15651" max="15651" width="5.7109375" style="414" customWidth="1"/>
    <col min="15652" max="15652" width="7.42578125" style="414" customWidth="1"/>
    <col min="15653" max="15653" width="7.85546875" style="414" customWidth="1"/>
    <col min="15654" max="15654" width="7.5703125" style="414" customWidth="1"/>
    <col min="15655" max="15655" width="12.5703125" style="414" customWidth="1"/>
    <col min="15656" max="15656" width="7.85546875" style="414" customWidth="1"/>
    <col min="15657" max="15657" width="11.28515625" style="414" bestFit="1" customWidth="1"/>
    <col min="15658" max="15658" width="5.7109375" style="414" customWidth="1"/>
    <col min="15659" max="15659" width="2.7109375" style="414" customWidth="1"/>
    <col min="15660" max="15660" width="11.42578125" style="414" customWidth="1"/>
    <col min="15661" max="15661" width="10.85546875" style="414" customWidth="1"/>
    <col min="15662" max="15662" width="5.140625" style="414" customWidth="1"/>
    <col min="15663" max="15872" width="9.140625" style="414"/>
    <col min="15873" max="15873" width="2.140625" style="414" customWidth="1"/>
    <col min="15874" max="15874" width="16.42578125" style="414" customWidth="1"/>
    <col min="15875" max="15875" width="3.85546875" style="414" customWidth="1"/>
    <col min="15876" max="15876" width="6.5703125" style="414" customWidth="1"/>
    <col min="15877" max="15877" width="3.28515625" style="414" customWidth="1"/>
    <col min="15878" max="15878" width="6.28515625" style="414" customWidth="1"/>
    <col min="15879" max="15879" width="5.140625" style="414" customWidth="1"/>
    <col min="15880" max="15880" width="4.5703125" style="414" customWidth="1"/>
    <col min="15881" max="15881" width="5.28515625" style="414" customWidth="1"/>
    <col min="15882" max="15882" width="3.28515625" style="414" customWidth="1"/>
    <col min="15883" max="15883" width="3.5703125" style="414" customWidth="1"/>
    <col min="15884" max="15884" width="3" style="414" customWidth="1"/>
    <col min="15885" max="15885" width="5.140625" style="414" customWidth="1"/>
    <col min="15886" max="15886" width="7.140625" style="414" customWidth="1"/>
    <col min="15887" max="15887" width="6.7109375" style="414" customWidth="1"/>
    <col min="15888" max="15888" width="6.28515625" style="414" customWidth="1"/>
    <col min="15889" max="15889" width="5.85546875" style="414" customWidth="1"/>
    <col min="15890" max="15890" width="6.5703125" style="414" customWidth="1"/>
    <col min="15891" max="15891" width="3.5703125" style="414" customWidth="1"/>
    <col min="15892" max="15892" width="6.28515625" style="414" customWidth="1"/>
    <col min="15893" max="15893" width="2.85546875" style="414" customWidth="1"/>
    <col min="15894" max="15894" width="5.7109375" style="414" customWidth="1"/>
    <col min="15895" max="15895" width="6.140625" style="414" customWidth="1"/>
    <col min="15896" max="15896" width="6" style="414" customWidth="1"/>
    <col min="15897" max="15898" width="5.42578125" style="414" customWidth="1"/>
    <col min="15899" max="15899" width="3.85546875" style="414" customWidth="1"/>
    <col min="15900" max="15900" width="3.42578125" style="414" customWidth="1"/>
    <col min="15901" max="15901" width="3" style="414" customWidth="1"/>
    <col min="15902" max="15902" width="5.7109375" style="414" customWidth="1"/>
    <col min="15903" max="15903" width="5.28515625" style="414" customWidth="1"/>
    <col min="15904" max="15904" width="5" style="414" customWidth="1"/>
    <col min="15905" max="15905" width="0" style="414" hidden="1" customWidth="1"/>
    <col min="15906" max="15906" width="3.7109375" style="414" customWidth="1"/>
    <col min="15907" max="15907" width="5.7109375" style="414" customWidth="1"/>
    <col min="15908" max="15908" width="7.42578125" style="414" customWidth="1"/>
    <col min="15909" max="15909" width="7.85546875" style="414" customWidth="1"/>
    <col min="15910" max="15910" width="7.5703125" style="414" customWidth="1"/>
    <col min="15911" max="15911" width="12.5703125" style="414" customWidth="1"/>
    <col min="15912" max="15912" width="7.85546875" style="414" customWidth="1"/>
    <col min="15913" max="15913" width="11.28515625" style="414" bestFit="1" customWidth="1"/>
    <col min="15914" max="15914" width="5.7109375" style="414" customWidth="1"/>
    <col min="15915" max="15915" width="2.7109375" style="414" customWidth="1"/>
    <col min="15916" max="15916" width="11.42578125" style="414" customWidth="1"/>
    <col min="15917" max="15917" width="10.85546875" style="414" customWidth="1"/>
    <col min="15918" max="15918" width="5.140625" style="414" customWidth="1"/>
    <col min="15919" max="16128" width="9.140625" style="414"/>
    <col min="16129" max="16129" width="2.140625" style="414" customWidth="1"/>
    <col min="16130" max="16130" width="16.42578125" style="414" customWidth="1"/>
    <col min="16131" max="16131" width="3.85546875" style="414" customWidth="1"/>
    <col min="16132" max="16132" width="6.5703125" style="414" customWidth="1"/>
    <col min="16133" max="16133" width="3.28515625" style="414" customWidth="1"/>
    <col min="16134" max="16134" width="6.28515625" style="414" customWidth="1"/>
    <col min="16135" max="16135" width="5.140625" style="414" customWidth="1"/>
    <col min="16136" max="16136" width="4.5703125" style="414" customWidth="1"/>
    <col min="16137" max="16137" width="5.28515625" style="414" customWidth="1"/>
    <col min="16138" max="16138" width="3.28515625" style="414" customWidth="1"/>
    <col min="16139" max="16139" width="3.5703125" style="414" customWidth="1"/>
    <col min="16140" max="16140" width="3" style="414" customWidth="1"/>
    <col min="16141" max="16141" width="5.140625" style="414" customWidth="1"/>
    <col min="16142" max="16142" width="7.140625" style="414" customWidth="1"/>
    <col min="16143" max="16143" width="6.7109375" style="414" customWidth="1"/>
    <col min="16144" max="16144" width="6.28515625" style="414" customWidth="1"/>
    <col min="16145" max="16145" width="5.85546875" style="414" customWidth="1"/>
    <col min="16146" max="16146" width="6.5703125" style="414" customWidth="1"/>
    <col min="16147" max="16147" width="3.5703125" style="414" customWidth="1"/>
    <col min="16148" max="16148" width="6.28515625" style="414" customWidth="1"/>
    <col min="16149" max="16149" width="2.85546875" style="414" customWidth="1"/>
    <col min="16150" max="16150" width="5.7109375" style="414" customWidth="1"/>
    <col min="16151" max="16151" width="6.140625" style="414" customWidth="1"/>
    <col min="16152" max="16152" width="6" style="414" customWidth="1"/>
    <col min="16153" max="16154" width="5.42578125" style="414" customWidth="1"/>
    <col min="16155" max="16155" width="3.85546875" style="414" customWidth="1"/>
    <col min="16156" max="16156" width="3.42578125" style="414" customWidth="1"/>
    <col min="16157" max="16157" width="3" style="414" customWidth="1"/>
    <col min="16158" max="16158" width="5.7109375" style="414" customWidth="1"/>
    <col min="16159" max="16159" width="5.28515625" style="414" customWidth="1"/>
    <col min="16160" max="16160" width="5" style="414" customWidth="1"/>
    <col min="16161" max="16161" width="0" style="414" hidden="1" customWidth="1"/>
    <col min="16162" max="16162" width="3.7109375" style="414" customWidth="1"/>
    <col min="16163" max="16163" width="5.7109375" style="414" customWidth="1"/>
    <col min="16164" max="16164" width="7.42578125" style="414" customWidth="1"/>
    <col min="16165" max="16165" width="7.85546875" style="414" customWidth="1"/>
    <col min="16166" max="16166" width="7.5703125" style="414" customWidth="1"/>
    <col min="16167" max="16167" width="12.5703125" style="414" customWidth="1"/>
    <col min="16168" max="16168" width="7.85546875" style="414" customWidth="1"/>
    <col min="16169" max="16169" width="11.28515625" style="414" bestFit="1" customWidth="1"/>
    <col min="16170" max="16170" width="5.7109375" style="414" customWidth="1"/>
    <col min="16171" max="16171" width="2.7109375" style="414" customWidth="1"/>
    <col min="16172" max="16172" width="11.42578125" style="414" customWidth="1"/>
    <col min="16173" max="16173" width="10.85546875" style="414" customWidth="1"/>
    <col min="16174" max="16174" width="5.140625" style="414" customWidth="1"/>
    <col min="16175" max="16384" width="9.140625" style="414"/>
  </cols>
  <sheetData>
    <row r="1" spans="1:49" ht="19.5" customHeight="1">
      <c r="A1" s="735" t="s">
        <v>311</v>
      </c>
      <c r="B1" s="735"/>
      <c r="C1" s="735"/>
      <c r="D1" s="735"/>
      <c r="E1" s="735"/>
      <c r="F1" s="735"/>
      <c r="G1" s="735"/>
      <c r="H1" s="735"/>
      <c r="I1" s="735"/>
      <c r="J1" s="735"/>
      <c r="K1" s="735"/>
      <c r="L1" s="735"/>
      <c r="M1" s="735"/>
      <c r="N1" s="735"/>
      <c r="O1" s="735"/>
      <c r="P1" s="735"/>
      <c r="Q1" s="735"/>
      <c r="R1" s="735"/>
      <c r="S1" s="735"/>
      <c r="T1" s="735"/>
      <c r="U1" s="735"/>
      <c r="V1" s="735"/>
      <c r="W1" s="735"/>
      <c r="X1" s="735"/>
      <c r="Y1" s="735"/>
      <c r="Z1" s="735"/>
      <c r="AA1" s="735"/>
      <c r="AB1" s="735"/>
      <c r="AC1" s="735"/>
      <c r="AD1" s="735"/>
      <c r="AE1" s="735"/>
      <c r="AF1" s="735"/>
      <c r="AG1" s="735"/>
      <c r="AH1" s="735"/>
      <c r="AI1" s="735"/>
      <c r="AJ1" s="735"/>
      <c r="AK1" s="735"/>
      <c r="AM1" s="467"/>
    </row>
    <row r="2" spans="1:49" ht="18">
      <c r="A2" s="736" t="s">
        <v>251</v>
      </c>
      <c r="B2" s="736"/>
      <c r="C2" s="736"/>
      <c r="D2" s="736"/>
      <c r="E2" s="736"/>
      <c r="F2" s="736"/>
      <c r="G2" s="736"/>
      <c r="H2" s="736"/>
      <c r="I2" s="736"/>
      <c r="J2" s="736"/>
      <c r="K2" s="736"/>
      <c r="L2" s="736"/>
      <c r="M2" s="736"/>
      <c r="N2" s="736"/>
      <c r="O2" s="736"/>
      <c r="P2" s="736"/>
      <c r="Q2" s="736"/>
      <c r="R2" s="736"/>
      <c r="S2" s="736"/>
      <c r="T2" s="736"/>
      <c r="U2" s="736"/>
      <c r="V2" s="736"/>
      <c r="W2" s="736"/>
      <c r="X2" s="736"/>
      <c r="Y2" s="736"/>
      <c r="Z2" s="736"/>
      <c r="AA2" s="736"/>
      <c r="AB2" s="736"/>
      <c r="AC2" s="736"/>
      <c r="AD2" s="736"/>
      <c r="AE2" s="736"/>
      <c r="AF2" s="736"/>
      <c r="AG2" s="736"/>
      <c r="AH2" s="736"/>
      <c r="AI2" s="736"/>
      <c r="AJ2" s="736"/>
      <c r="AK2" s="736"/>
      <c r="AM2" s="467"/>
    </row>
    <row r="3" spans="1:49" ht="9.75" customHeight="1">
      <c r="A3" s="468"/>
      <c r="B3" s="468"/>
      <c r="C3" s="468"/>
      <c r="D3" s="468"/>
      <c r="E3" s="468"/>
      <c r="F3" s="468"/>
      <c r="G3" s="468"/>
      <c r="H3" s="468"/>
      <c r="I3" s="468"/>
      <c r="J3" s="468"/>
      <c r="K3" s="468"/>
      <c r="L3" s="468"/>
      <c r="M3" s="468"/>
      <c r="N3" s="468"/>
      <c r="O3" s="468"/>
      <c r="P3" s="468"/>
      <c r="Q3" s="468"/>
      <c r="R3" s="468"/>
      <c r="S3" s="468"/>
      <c r="T3" s="468"/>
      <c r="U3" s="468"/>
      <c r="V3" s="468"/>
      <c r="W3" s="468"/>
      <c r="X3" s="468"/>
      <c r="Y3" s="468"/>
      <c r="Z3" s="468"/>
      <c r="AA3" s="468"/>
      <c r="AB3" s="468"/>
      <c r="AC3" s="468"/>
      <c r="AD3" s="468"/>
      <c r="AE3" s="469"/>
      <c r="AF3" s="468"/>
      <c r="AG3" s="468"/>
      <c r="AH3" s="468"/>
      <c r="AI3" s="468"/>
      <c r="AJ3" s="468"/>
      <c r="AK3" s="463"/>
    </row>
    <row r="4" spans="1:49" ht="18" customHeight="1">
      <c r="A4" s="737" t="s">
        <v>312</v>
      </c>
      <c r="B4" s="737"/>
      <c r="C4" s="737"/>
      <c r="D4" s="737"/>
      <c r="E4" s="737"/>
      <c r="F4" s="737"/>
      <c r="G4" s="737"/>
      <c r="H4" s="737"/>
      <c r="I4" s="737"/>
      <c r="J4" s="737"/>
      <c r="K4" s="737"/>
      <c r="L4" s="737"/>
      <c r="M4" s="737"/>
      <c r="N4" s="737"/>
      <c r="O4" s="737"/>
      <c r="P4" s="737"/>
      <c r="Q4" s="737"/>
      <c r="R4" s="737"/>
      <c r="S4" s="737"/>
      <c r="T4" s="737"/>
      <c r="U4" s="737"/>
      <c r="V4" s="737"/>
      <c r="W4" s="737"/>
      <c r="X4" s="737"/>
      <c r="Y4" s="737"/>
      <c r="Z4" s="737"/>
      <c r="AA4" s="737"/>
      <c r="AB4" s="737"/>
      <c r="AC4" s="737"/>
      <c r="AD4" s="737"/>
      <c r="AE4" s="737"/>
      <c r="AF4" s="737"/>
      <c r="AG4" s="737"/>
      <c r="AH4" s="737"/>
      <c r="AI4" s="737"/>
      <c r="AJ4" s="737"/>
      <c r="AK4" s="737"/>
    </row>
    <row r="5" spans="1:49" ht="6" customHeight="1">
      <c r="A5" s="470"/>
      <c r="B5" s="470"/>
      <c r="C5" s="470"/>
      <c r="D5" s="470"/>
      <c r="E5" s="470"/>
      <c r="F5" s="470"/>
      <c r="G5" s="470"/>
      <c r="H5" s="470" t="s">
        <v>313</v>
      </c>
      <c r="I5" s="470"/>
      <c r="J5" s="470"/>
      <c r="K5" s="470"/>
      <c r="L5" s="470"/>
      <c r="M5" s="470"/>
      <c r="N5" s="470"/>
      <c r="O5" s="470"/>
      <c r="P5" s="470"/>
      <c r="Q5" s="470"/>
      <c r="R5" s="470"/>
      <c r="S5" s="470"/>
      <c r="T5" s="470"/>
      <c r="U5" s="470"/>
      <c r="V5" s="470"/>
      <c r="W5" s="470"/>
      <c r="X5" s="470"/>
      <c r="Y5" s="470"/>
      <c r="Z5" s="470"/>
      <c r="AA5" s="470"/>
      <c r="AB5" s="470"/>
      <c r="AC5" s="470"/>
      <c r="AD5" s="471"/>
      <c r="AE5" s="472"/>
      <c r="AF5" s="471"/>
      <c r="AG5" s="470"/>
      <c r="AH5" s="470"/>
      <c r="AI5" s="470"/>
      <c r="AJ5" s="470"/>
      <c r="AK5" s="473"/>
    </row>
    <row r="6" spans="1:49" ht="19.899999999999999" customHeight="1">
      <c r="A6" s="738" t="s">
        <v>314</v>
      </c>
      <c r="B6" s="739" t="s">
        <v>315</v>
      </c>
      <c r="C6" s="740" t="s">
        <v>19</v>
      </c>
      <c r="D6" s="740" t="s">
        <v>316</v>
      </c>
      <c r="E6" s="740" t="s">
        <v>317</v>
      </c>
      <c r="F6" s="740" t="s">
        <v>318</v>
      </c>
      <c r="G6" s="740" t="s">
        <v>319</v>
      </c>
      <c r="H6" s="740" t="s">
        <v>320</v>
      </c>
      <c r="I6" s="729" t="s">
        <v>321</v>
      </c>
      <c r="J6" s="729" t="s">
        <v>34</v>
      </c>
      <c r="K6" s="729" t="s">
        <v>322</v>
      </c>
      <c r="L6" s="729" t="s">
        <v>323</v>
      </c>
      <c r="M6" s="729" t="s">
        <v>324</v>
      </c>
      <c r="N6" s="740" t="s">
        <v>325</v>
      </c>
      <c r="O6" s="748" t="s">
        <v>326</v>
      </c>
      <c r="P6" s="746" t="s">
        <v>327</v>
      </c>
      <c r="Q6" s="752" t="s">
        <v>328</v>
      </c>
      <c r="R6" s="474" t="s">
        <v>329</v>
      </c>
      <c r="S6" s="755" t="s">
        <v>2</v>
      </c>
      <c r="T6" s="756"/>
      <c r="U6" s="756"/>
      <c r="V6" s="756"/>
      <c r="W6" s="756"/>
      <c r="X6" s="756"/>
      <c r="Y6" s="756"/>
      <c r="Z6" s="756"/>
      <c r="AA6" s="756"/>
      <c r="AB6" s="756"/>
      <c r="AC6" s="756"/>
      <c r="AD6" s="756"/>
      <c r="AE6" s="756"/>
      <c r="AF6" s="756"/>
      <c r="AG6" s="756"/>
      <c r="AH6" s="757"/>
      <c r="AI6" s="475" t="s">
        <v>330</v>
      </c>
      <c r="AJ6" s="476" t="s">
        <v>331</v>
      </c>
      <c r="AK6" s="741" t="s">
        <v>332</v>
      </c>
      <c r="AL6" s="477"/>
      <c r="AM6" s="477"/>
      <c r="AN6" s="477"/>
      <c r="AO6" s="477"/>
      <c r="AP6" s="477"/>
      <c r="AQ6" s="477"/>
      <c r="AR6" s="477"/>
      <c r="AS6" s="477"/>
      <c r="AT6" s="477"/>
      <c r="AU6" s="477"/>
      <c r="AV6" s="477"/>
      <c r="AW6" s="477"/>
    </row>
    <row r="7" spans="1:49" ht="19.899999999999999" customHeight="1">
      <c r="A7" s="738"/>
      <c r="B7" s="739"/>
      <c r="C7" s="740"/>
      <c r="D7" s="740"/>
      <c r="E7" s="740"/>
      <c r="F7" s="740"/>
      <c r="G7" s="740"/>
      <c r="H7" s="740"/>
      <c r="I7" s="730"/>
      <c r="J7" s="730"/>
      <c r="K7" s="730"/>
      <c r="L7" s="730"/>
      <c r="M7" s="730"/>
      <c r="N7" s="740"/>
      <c r="O7" s="749"/>
      <c r="P7" s="751"/>
      <c r="Q7" s="753"/>
      <c r="R7" s="478"/>
      <c r="S7" s="744" t="s">
        <v>333</v>
      </c>
      <c r="T7" s="745"/>
      <c r="U7" s="745"/>
      <c r="V7" s="479"/>
      <c r="W7" s="479"/>
      <c r="X7" s="746" t="s">
        <v>334</v>
      </c>
      <c r="Y7" s="732" t="s">
        <v>335</v>
      </c>
      <c r="Z7" s="732" t="s">
        <v>54</v>
      </c>
      <c r="AA7" s="732" t="s">
        <v>336</v>
      </c>
      <c r="AB7" s="480"/>
      <c r="AC7" s="480"/>
      <c r="AD7" s="481"/>
      <c r="AE7" s="481"/>
      <c r="AF7" s="481"/>
      <c r="AG7" s="481"/>
      <c r="AH7" s="482"/>
      <c r="AI7" s="482"/>
      <c r="AJ7" s="483"/>
      <c r="AK7" s="742"/>
      <c r="AL7" s="477"/>
      <c r="AM7" s="477"/>
      <c r="AN7" s="477"/>
      <c r="AO7" s="477"/>
      <c r="AP7" s="477"/>
      <c r="AQ7" s="477"/>
      <c r="AR7" s="477"/>
      <c r="AS7" s="477"/>
      <c r="AT7" s="477"/>
      <c r="AU7" s="477"/>
      <c r="AV7" s="477"/>
      <c r="AW7" s="477"/>
    </row>
    <row r="8" spans="1:49" ht="81.75" customHeight="1">
      <c r="A8" s="738"/>
      <c r="B8" s="739"/>
      <c r="C8" s="740"/>
      <c r="D8" s="740"/>
      <c r="E8" s="740"/>
      <c r="F8" s="740"/>
      <c r="G8" s="740"/>
      <c r="H8" s="740"/>
      <c r="I8" s="731"/>
      <c r="J8" s="731"/>
      <c r="K8" s="731"/>
      <c r="L8" s="731"/>
      <c r="M8" s="731"/>
      <c r="N8" s="740"/>
      <c r="O8" s="750"/>
      <c r="P8" s="747"/>
      <c r="Q8" s="754"/>
      <c r="R8" s="484" t="s">
        <v>337</v>
      </c>
      <c r="S8" s="484" t="s">
        <v>338</v>
      </c>
      <c r="T8" s="484" t="s">
        <v>339</v>
      </c>
      <c r="U8" s="484" t="s">
        <v>340</v>
      </c>
      <c r="V8" s="485" t="s">
        <v>341</v>
      </c>
      <c r="W8" s="486" t="s">
        <v>342</v>
      </c>
      <c r="X8" s="747"/>
      <c r="Y8" s="733"/>
      <c r="Z8" s="733"/>
      <c r="AA8" s="733"/>
      <c r="AB8" s="487" t="s">
        <v>343</v>
      </c>
      <c r="AC8" s="487" t="s">
        <v>344</v>
      </c>
      <c r="AD8" s="488" t="s">
        <v>345</v>
      </c>
      <c r="AE8" s="489" t="s">
        <v>346</v>
      </c>
      <c r="AF8" s="488" t="s">
        <v>347</v>
      </c>
      <c r="AG8" s="488" t="s">
        <v>348</v>
      </c>
      <c r="AH8" s="488" t="s">
        <v>349</v>
      </c>
      <c r="AI8" s="488" t="s">
        <v>350</v>
      </c>
      <c r="AJ8" s="488" t="s">
        <v>351</v>
      </c>
      <c r="AK8" s="743"/>
      <c r="AL8" s="477"/>
      <c r="AM8" s="477"/>
      <c r="AN8" s="477"/>
      <c r="AO8" s="477"/>
      <c r="AP8" s="477"/>
      <c r="AQ8" s="477"/>
      <c r="AR8" s="477"/>
      <c r="AS8" s="477"/>
      <c r="AT8" s="477"/>
      <c r="AU8" s="477"/>
      <c r="AV8" s="477"/>
      <c r="AW8" s="477"/>
    </row>
    <row r="9" spans="1:49" ht="14.25" customHeight="1">
      <c r="A9" s="490">
        <v>1</v>
      </c>
      <c r="B9" s="491">
        <v>2</v>
      </c>
      <c r="C9" s="492">
        <v>3</v>
      </c>
      <c r="D9" s="491">
        <v>4</v>
      </c>
      <c r="E9" s="491">
        <v>5</v>
      </c>
      <c r="F9" s="491">
        <v>6</v>
      </c>
      <c r="G9" s="491">
        <v>7</v>
      </c>
      <c r="H9" s="491">
        <v>8</v>
      </c>
      <c r="I9" s="491">
        <v>9</v>
      </c>
      <c r="J9" s="491">
        <v>10</v>
      </c>
      <c r="K9" s="491">
        <v>11</v>
      </c>
      <c r="L9" s="491">
        <v>12</v>
      </c>
      <c r="M9" s="491">
        <v>13</v>
      </c>
      <c r="N9" s="493" t="s">
        <v>352</v>
      </c>
      <c r="O9" s="491">
        <v>15</v>
      </c>
      <c r="P9" s="491">
        <v>16</v>
      </c>
      <c r="Q9" s="491">
        <v>17</v>
      </c>
      <c r="R9" s="494" t="s">
        <v>353</v>
      </c>
      <c r="S9" s="494">
        <v>19</v>
      </c>
      <c r="T9" s="494">
        <v>20</v>
      </c>
      <c r="U9" s="494">
        <v>21</v>
      </c>
      <c r="V9" s="494">
        <v>22</v>
      </c>
      <c r="W9" s="495">
        <v>23</v>
      </c>
      <c r="X9" s="494">
        <v>24</v>
      </c>
      <c r="Y9" s="496">
        <v>25</v>
      </c>
      <c r="Z9" s="496">
        <v>26</v>
      </c>
      <c r="AA9" s="496">
        <v>27</v>
      </c>
      <c r="AB9" s="496">
        <v>28</v>
      </c>
      <c r="AC9" s="496">
        <v>29</v>
      </c>
      <c r="AD9" s="497">
        <v>30</v>
      </c>
      <c r="AE9" s="498">
        <v>31</v>
      </c>
      <c r="AF9" s="497">
        <v>32</v>
      </c>
      <c r="AG9" s="497"/>
      <c r="AH9" s="497">
        <v>33</v>
      </c>
      <c r="AI9" s="499" t="s">
        <v>354</v>
      </c>
      <c r="AJ9" s="499" t="s">
        <v>355</v>
      </c>
      <c r="AK9" s="500" t="s">
        <v>356</v>
      </c>
      <c r="AL9" s="477"/>
      <c r="AM9" s="477"/>
      <c r="AN9" s="477"/>
      <c r="AO9" s="477"/>
      <c r="AP9" s="477"/>
      <c r="AQ9" s="477"/>
      <c r="AR9" s="477"/>
      <c r="AS9" s="477"/>
      <c r="AT9" s="477"/>
      <c r="AU9" s="477"/>
      <c r="AV9" s="477"/>
      <c r="AW9" s="477"/>
    </row>
    <row r="10" spans="1:49" s="513" customFormat="1" ht="28.5" customHeight="1">
      <c r="A10" s="501">
        <v>1</v>
      </c>
      <c r="B10" s="502" t="s">
        <v>357</v>
      </c>
      <c r="C10" s="503" t="s">
        <v>3</v>
      </c>
      <c r="D10" s="504">
        <v>54080</v>
      </c>
      <c r="E10" s="505">
        <v>0</v>
      </c>
      <c r="F10" s="504">
        <f>D10+E10</f>
        <v>54080</v>
      </c>
      <c r="G10" s="506">
        <f>+ROUND(F10*0.35,0)</f>
        <v>18928</v>
      </c>
      <c r="H10" s="506">
        <v>1500</v>
      </c>
      <c r="I10" s="507">
        <v>500</v>
      </c>
      <c r="J10" s="507"/>
      <c r="K10" s="507"/>
      <c r="L10" s="507"/>
      <c r="M10" s="506">
        <v>200</v>
      </c>
      <c r="N10" s="507">
        <f>E10+F10+G10+H10+I10+J10+K10+L10+M10</f>
        <v>75208</v>
      </c>
      <c r="O10" s="508">
        <v>0</v>
      </c>
      <c r="P10" s="507">
        <v>0</v>
      </c>
      <c r="Q10" s="506">
        <f>ROUND(F10*0.41,0)</f>
        <v>22173</v>
      </c>
      <c r="R10" s="506">
        <f>N10+O10+P10+Q10</f>
        <v>97381</v>
      </c>
      <c r="S10" s="506">
        <v>25</v>
      </c>
      <c r="T10" s="506">
        <f>F10*25%</f>
        <v>13520</v>
      </c>
      <c r="U10" s="506"/>
      <c r="V10" s="506"/>
      <c r="W10" s="509"/>
      <c r="X10" s="506">
        <v>22173</v>
      </c>
      <c r="Y10" s="504">
        <v>250</v>
      </c>
      <c r="Z10" s="504">
        <v>2300</v>
      </c>
      <c r="AA10" s="504">
        <v>12</v>
      </c>
      <c r="AB10" s="504"/>
      <c r="AC10" s="504"/>
      <c r="AD10" s="504">
        <v>22510</v>
      </c>
      <c r="AE10" s="504"/>
      <c r="AF10" s="510"/>
      <c r="AG10" s="504">
        <v>0</v>
      </c>
      <c r="AH10" s="504">
        <f>10</f>
        <v>10</v>
      </c>
      <c r="AI10" s="511">
        <f>T10+U10+V10+W10+X10+Y10+Z10+AA10+AB10+AC10+AD10+AE10+AF10+AH10</f>
        <v>60775</v>
      </c>
      <c r="AJ10" s="511">
        <f>AI10-X10</f>
        <v>38602</v>
      </c>
      <c r="AK10" s="512">
        <f>R10-AI10</f>
        <v>36606</v>
      </c>
      <c r="AM10" s="514"/>
    </row>
    <row r="11" spans="1:49" s="513" customFormat="1" ht="17.25" hidden="1" customHeight="1">
      <c r="A11" s="501">
        <v>2</v>
      </c>
      <c r="B11" s="515" t="s">
        <v>358</v>
      </c>
      <c r="C11" s="516"/>
      <c r="D11" s="504">
        <v>46970</v>
      </c>
      <c r="E11" s="505">
        <f t="shared" ref="E11:E21" si="0">D11*5%</f>
        <v>2348.5</v>
      </c>
      <c r="F11" s="504">
        <f t="shared" ref="F11:F17" si="1">D11+E11</f>
        <v>49318.5</v>
      </c>
      <c r="G11" s="506">
        <f t="shared" ref="G11:G21" si="2">+ROUND(F11*0.35,0)</f>
        <v>17261</v>
      </c>
      <c r="H11" s="506">
        <v>1500</v>
      </c>
      <c r="I11" s="507">
        <v>1000</v>
      </c>
      <c r="J11" s="507"/>
      <c r="K11" s="507"/>
      <c r="L11" s="507"/>
      <c r="M11" s="506">
        <v>0</v>
      </c>
      <c r="N11" s="507">
        <f t="shared" ref="N11:N24" si="3">E11+F11+G11+H11+I11+J11+K11+L11+M11</f>
        <v>71428</v>
      </c>
      <c r="O11" s="508">
        <v>0</v>
      </c>
      <c r="P11" s="507">
        <v>0</v>
      </c>
      <c r="Q11" s="506">
        <f>ROUND(F11*0.55,0)</f>
        <v>27125</v>
      </c>
      <c r="R11" s="506">
        <f t="shared" ref="R11:R23" si="4">N11+O11+P11+Q11</f>
        <v>98553</v>
      </c>
      <c r="S11" s="506"/>
      <c r="T11" s="506">
        <f t="shared" ref="T11:T21" si="5">F11*25%</f>
        <v>12329.625</v>
      </c>
      <c r="U11" s="506"/>
      <c r="V11" s="506"/>
      <c r="W11" s="506"/>
      <c r="X11" s="506">
        <v>27125</v>
      </c>
      <c r="Y11" s="504">
        <v>200</v>
      </c>
      <c r="Z11" s="504">
        <v>1000</v>
      </c>
      <c r="AA11" s="504">
        <v>0</v>
      </c>
      <c r="AB11" s="504"/>
      <c r="AC11" s="504"/>
      <c r="AD11" s="504">
        <f>+G11</f>
        <v>17261</v>
      </c>
      <c r="AE11" s="504">
        <v>3025</v>
      </c>
      <c r="AF11" s="510" t="s">
        <v>359</v>
      </c>
      <c r="AG11" s="504">
        <v>0</v>
      </c>
      <c r="AH11" s="504">
        <f>10</f>
        <v>10</v>
      </c>
      <c r="AI11" s="511" t="e">
        <f t="shared" ref="AI11:AI23" si="6">T11+U11+V11+W11+X11+Y11+Z11+AA11+AB11+AC11+AD11+AE11+AF11+AH11</f>
        <v>#VALUE!</v>
      </c>
      <c r="AJ11" s="511" t="e">
        <f t="shared" ref="AJ11:AJ23" si="7">AI11-X11</f>
        <v>#VALUE!</v>
      </c>
      <c r="AK11" s="512" t="e">
        <f t="shared" ref="AK11:AK23" si="8">R11-AI11</f>
        <v>#VALUE!</v>
      </c>
      <c r="AM11" s="514"/>
      <c r="AO11" s="514"/>
      <c r="AR11" s="517"/>
      <c r="AS11" s="517"/>
      <c r="AT11" s="518"/>
    </row>
    <row r="12" spans="1:49" s="529" customFormat="1" ht="15" hidden="1" customHeight="1">
      <c r="A12" s="519"/>
      <c r="B12" s="520" t="s">
        <v>360</v>
      </c>
      <c r="C12" s="521"/>
      <c r="D12" s="522"/>
      <c r="E12" s="505">
        <f t="shared" si="0"/>
        <v>0</v>
      </c>
      <c r="F12" s="504">
        <f t="shared" si="1"/>
        <v>0</v>
      </c>
      <c r="G12" s="506">
        <f t="shared" si="2"/>
        <v>0</v>
      </c>
      <c r="H12" s="523"/>
      <c r="I12" s="522"/>
      <c r="J12" s="522"/>
      <c r="K12" s="522"/>
      <c r="L12" s="522"/>
      <c r="M12" s="523"/>
      <c r="N12" s="507">
        <f t="shared" si="3"/>
        <v>0</v>
      </c>
      <c r="O12" s="524"/>
      <c r="P12" s="522"/>
      <c r="Q12" s="525"/>
      <c r="R12" s="506">
        <f t="shared" si="4"/>
        <v>0</v>
      </c>
      <c r="S12" s="526"/>
      <c r="T12" s="506">
        <f t="shared" si="5"/>
        <v>0</v>
      </c>
      <c r="U12" s="526"/>
      <c r="V12" s="526"/>
      <c r="W12" s="526"/>
      <c r="X12" s="526">
        <v>0</v>
      </c>
      <c r="Y12" s="527"/>
      <c r="Z12" s="527"/>
      <c r="AA12" s="527"/>
      <c r="AB12" s="527"/>
      <c r="AC12" s="527"/>
      <c r="AD12" s="527"/>
      <c r="AE12" s="527"/>
      <c r="AF12" s="528"/>
      <c r="AG12" s="527"/>
      <c r="AH12" s="527"/>
      <c r="AI12" s="511">
        <f t="shared" si="6"/>
        <v>0</v>
      </c>
      <c r="AJ12" s="511">
        <f t="shared" si="7"/>
        <v>0</v>
      </c>
      <c r="AK12" s="512">
        <f t="shared" si="8"/>
        <v>0</v>
      </c>
      <c r="AM12" s="530"/>
      <c r="AO12" s="530"/>
      <c r="AR12" s="531"/>
      <c r="AS12" s="531"/>
      <c r="AT12" s="532"/>
    </row>
    <row r="13" spans="1:49" s="513" customFormat="1" ht="12.6" hidden="1" customHeight="1">
      <c r="A13" s="501"/>
      <c r="B13" s="515"/>
      <c r="C13" s="516"/>
      <c r="D13" s="507"/>
      <c r="E13" s="505">
        <f t="shared" si="0"/>
        <v>0</v>
      </c>
      <c r="F13" s="504">
        <f t="shared" si="1"/>
        <v>0</v>
      </c>
      <c r="G13" s="506">
        <f t="shared" si="2"/>
        <v>0</v>
      </c>
      <c r="H13" s="506"/>
      <c r="I13" s="504"/>
      <c r="J13" s="504"/>
      <c r="K13" s="504"/>
      <c r="L13" s="504"/>
      <c r="M13" s="506"/>
      <c r="N13" s="507">
        <f t="shared" si="3"/>
        <v>0</v>
      </c>
      <c r="O13" s="508"/>
      <c r="P13" s="507"/>
      <c r="Q13" s="533"/>
      <c r="R13" s="506">
        <f t="shared" si="4"/>
        <v>0</v>
      </c>
      <c r="S13" s="506"/>
      <c r="T13" s="506">
        <f t="shared" si="5"/>
        <v>0</v>
      </c>
      <c r="U13" s="506"/>
      <c r="V13" s="506"/>
      <c r="W13" s="506"/>
      <c r="X13" s="506"/>
      <c r="Y13" s="504"/>
      <c r="Z13" s="504"/>
      <c r="AA13" s="504"/>
      <c r="AB13" s="504"/>
      <c r="AC13" s="504"/>
      <c r="AD13" s="504"/>
      <c r="AE13" s="504"/>
      <c r="AF13" s="510"/>
      <c r="AG13" s="504"/>
      <c r="AH13" s="504"/>
      <c r="AI13" s="511">
        <f t="shared" si="6"/>
        <v>0</v>
      </c>
      <c r="AJ13" s="511">
        <f t="shared" si="7"/>
        <v>0</v>
      </c>
      <c r="AK13" s="512">
        <f t="shared" si="8"/>
        <v>0</v>
      </c>
      <c r="AM13" s="514"/>
      <c r="AO13" s="514"/>
      <c r="AR13" s="517"/>
      <c r="AS13" s="517"/>
      <c r="AT13" s="518"/>
    </row>
    <row r="14" spans="1:49" s="529" customFormat="1" ht="12.6" hidden="1" customHeight="1">
      <c r="A14" s="519"/>
      <c r="B14" s="520"/>
      <c r="C14" s="521"/>
      <c r="D14" s="522"/>
      <c r="E14" s="505">
        <f t="shared" si="0"/>
        <v>0</v>
      </c>
      <c r="F14" s="504">
        <f t="shared" si="1"/>
        <v>0</v>
      </c>
      <c r="G14" s="506">
        <f t="shared" si="2"/>
        <v>0</v>
      </c>
      <c r="H14" s="523"/>
      <c r="I14" s="522"/>
      <c r="J14" s="522"/>
      <c r="K14" s="522"/>
      <c r="L14" s="522"/>
      <c r="M14" s="523"/>
      <c r="N14" s="507">
        <f t="shared" si="3"/>
        <v>0</v>
      </c>
      <c r="O14" s="508"/>
      <c r="P14" s="507"/>
      <c r="Q14" s="525"/>
      <c r="R14" s="506">
        <f t="shared" si="4"/>
        <v>0</v>
      </c>
      <c r="S14" s="526"/>
      <c r="T14" s="506">
        <f t="shared" si="5"/>
        <v>0</v>
      </c>
      <c r="U14" s="526"/>
      <c r="V14" s="526"/>
      <c r="W14" s="526"/>
      <c r="X14" s="526"/>
      <c r="Y14" s="504"/>
      <c r="Z14" s="534"/>
      <c r="AA14" s="534"/>
      <c r="AB14" s="534"/>
      <c r="AC14" s="534"/>
      <c r="AD14" s="527"/>
      <c r="AE14" s="527"/>
      <c r="AF14" s="528"/>
      <c r="AG14" s="527"/>
      <c r="AH14" s="527"/>
      <c r="AI14" s="511">
        <f t="shared" si="6"/>
        <v>0</v>
      </c>
      <c r="AJ14" s="511">
        <f t="shared" si="7"/>
        <v>0</v>
      </c>
      <c r="AK14" s="512">
        <f t="shared" si="8"/>
        <v>0</v>
      </c>
      <c r="AM14" s="530"/>
      <c r="AO14" s="530"/>
      <c r="AR14" s="531"/>
      <c r="AS14" s="531"/>
      <c r="AT14" s="532"/>
    </row>
    <row r="15" spans="1:49" s="513" customFormat="1" ht="14.25" hidden="1" customHeight="1">
      <c r="A15" s="501">
        <v>4</v>
      </c>
      <c r="B15" s="515" t="s">
        <v>361</v>
      </c>
      <c r="C15" s="516"/>
      <c r="D15" s="507">
        <v>0</v>
      </c>
      <c r="E15" s="505">
        <f t="shared" si="0"/>
        <v>0</v>
      </c>
      <c r="F15" s="504">
        <f t="shared" si="1"/>
        <v>0</v>
      </c>
      <c r="G15" s="506">
        <f t="shared" si="2"/>
        <v>0</v>
      </c>
      <c r="H15" s="506">
        <v>0</v>
      </c>
      <c r="I15" s="507">
        <v>0</v>
      </c>
      <c r="J15" s="507"/>
      <c r="K15" s="507"/>
      <c r="L15" s="507"/>
      <c r="M15" s="506">
        <v>0</v>
      </c>
      <c r="N15" s="507">
        <f t="shared" si="3"/>
        <v>0</v>
      </c>
      <c r="O15" s="508"/>
      <c r="P15" s="507">
        <v>0</v>
      </c>
      <c r="Q15" s="506">
        <f>ROUND(F15*0.55,0)</f>
        <v>0</v>
      </c>
      <c r="R15" s="506">
        <f t="shared" si="4"/>
        <v>0</v>
      </c>
      <c r="S15" s="506"/>
      <c r="T15" s="506">
        <f t="shared" si="5"/>
        <v>0</v>
      </c>
      <c r="U15" s="506"/>
      <c r="V15" s="506"/>
      <c r="W15" s="506"/>
      <c r="X15" s="506">
        <v>0</v>
      </c>
      <c r="Y15" s="504">
        <v>0</v>
      </c>
      <c r="Z15" s="504">
        <v>0</v>
      </c>
      <c r="AA15" s="504">
        <v>0</v>
      </c>
      <c r="AB15" s="504"/>
      <c r="AC15" s="504"/>
      <c r="AD15" s="504">
        <f>G15</f>
        <v>0</v>
      </c>
      <c r="AE15" s="504">
        <v>0</v>
      </c>
      <c r="AF15" s="510">
        <v>0</v>
      </c>
      <c r="AG15" s="504">
        <v>0</v>
      </c>
      <c r="AH15" s="504">
        <v>0</v>
      </c>
      <c r="AI15" s="511">
        <f t="shared" si="6"/>
        <v>0</v>
      </c>
      <c r="AJ15" s="511">
        <f t="shared" si="7"/>
        <v>0</v>
      </c>
      <c r="AK15" s="512">
        <f t="shared" si="8"/>
        <v>0</v>
      </c>
      <c r="AM15" s="514"/>
      <c r="AO15" s="514"/>
      <c r="AR15" s="517"/>
      <c r="AS15" s="517"/>
      <c r="AT15" s="518"/>
    </row>
    <row r="16" spans="1:49" s="529" customFormat="1" ht="13.9" hidden="1" customHeight="1">
      <c r="A16" s="519"/>
      <c r="B16" s="520" t="s">
        <v>362</v>
      </c>
      <c r="C16" s="521"/>
      <c r="D16" s="522"/>
      <c r="E16" s="505">
        <f t="shared" si="0"/>
        <v>0</v>
      </c>
      <c r="F16" s="504">
        <f t="shared" si="1"/>
        <v>0</v>
      </c>
      <c r="G16" s="506">
        <f t="shared" si="2"/>
        <v>0</v>
      </c>
      <c r="H16" s="523"/>
      <c r="I16" s="522"/>
      <c r="J16" s="522"/>
      <c r="K16" s="522"/>
      <c r="L16" s="522"/>
      <c r="M16" s="523"/>
      <c r="N16" s="507">
        <f t="shared" si="3"/>
        <v>0</v>
      </c>
      <c r="O16" s="508">
        <f>ROUND(D16*10%,0)</f>
        <v>0</v>
      </c>
      <c r="P16" s="507">
        <f>ROUND(D16*10%,0)</f>
        <v>0</v>
      </c>
      <c r="Q16" s="525"/>
      <c r="R16" s="506">
        <f t="shared" si="4"/>
        <v>0</v>
      </c>
      <c r="S16" s="526"/>
      <c r="T16" s="506">
        <f t="shared" si="5"/>
        <v>0</v>
      </c>
      <c r="U16" s="526"/>
      <c r="V16" s="526"/>
      <c r="W16" s="526"/>
      <c r="X16" s="526">
        <v>0</v>
      </c>
      <c r="Y16" s="504">
        <f>ROUND(F16*1%,0)</f>
        <v>0</v>
      </c>
      <c r="Z16" s="534"/>
      <c r="AA16" s="534"/>
      <c r="AB16" s="534"/>
      <c r="AC16" s="534"/>
      <c r="AD16" s="527"/>
      <c r="AE16" s="527"/>
      <c r="AF16" s="528"/>
      <c r="AG16" s="527"/>
      <c r="AH16" s="527"/>
      <c r="AI16" s="511">
        <f t="shared" si="6"/>
        <v>0</v>
      </c>
      <c r="AJ16" s="511">
        <f t="shared" si="7"/>
        <v>0</v>
      </c>
      <c r="AK16" s="512">
        <f t="shared" si="8"/>
        <v>0</v>
      </c>
      <c r="AO16" s="530"/>
      <c r="AR16" s="531"/>
      <c r="AS16" s="531"/>
      <c r="AT16" s="532"/>
    </row>
    <row r="17" spans="1:46" ht="26.25" customHeight="1">
      <c r="A17" s="535">
        <v>2</v>
      </c>
      <c r="B17" s="536" t="s">
        <v>363</v>
      </c>
      <c r="C17" s="537" t="s">
        <v>236</v>
      </c>
      <c r="D17" s="538">
        <v>43170</v>
      </c>
      <c r="E17" s="505">
        <v>0</v>
      </c>
      <c r="F17" s="504">
        <f t="shared" si="1"/>
        <v>43170</v>
      </c>
      <c r="G17" s="506">
        <f>+ROUND(F17*0.35,0)</f>
        <v>15110</v>
      </c>
      <c r="H17" s="506">
        <v>1500</v>
      </c>
      <c r="I17" s="539">
        <v>1000</v>
      </c>
      <c r="J17" s="539"/>
      <c r="K17" s="539"/>
      <c r="L17" s="539"/>
      <c r="M17" s="526">
        <v>0</v>
      </c>
      <c r="N17" s="507">
        <f t="shared" si="3"/>
        <v>60780</v>
      </c>
      <c r="O17" s="533">
        <f>ROUND(F17*10%,0)</f>
        <v>4317</v>
      </c>
      <c r="P17" s="533">
        <f>ROUND(D17*10%,0)</f>
        <v>4317</v>
      </c>
      <c r="Q17" s="540">
        <v>0</v>
      </c>
      <c r="R17" s="506">
        <f>N17+O17+P17+Q17</f>
        <v>69414</v>
      </c>
      <c r="S17" s="506">
        <v>10</v>
      </c>
      <c r="T17" s="506">
        <f>F17*10%</f>
        <v>4317</v>
      </c>
      <c r="U17" s="506"/>
      <c r="V17" s="506">
        <f>O17</f>
        <v>4317</v>
      </c>
      <c r="W17" s="506">
        <f>P17</f>
        <v>4317</v>
      </c>
      <c r="X17" s="506"/>
      <c r="Y17" s="504">
        <v>250</v>
      </c>
      <c r="Z17" s="504">
        <v>635</v>
      </c>
      <c r="AA17" s="504">
        <v>6</v>
      </c>
      <c r="AB17" s="504"/>
      <c r="AC17" s="504"/>
      <c r="AD17" s="504">
        <f>G17</f>
        <v>15110</v>
      </c>
      <c r="AE17" s="534">
        <v>3025</v>
      </c>
      <c r="AF17" s="541">
        <v>1130</v>
      </c>
      <c r="AG17" s="534">
        <v>0</v>
      </c>
      <c r="AH17" s="534">
        <v>10</v>
      </c>
      <c r="AI17" s="511">
        <f t="shared" si="6"/>
        <v>33117</v>
      </c>
      <c r="AJ17" s="511">
        <f t="shared" si="7"/>
        <v>33117</v>
      </c>
      <c r="AK17" s="512">
        <f t="shared" si="8"/>
        <v>36297</v>
      </c>
      <c r="AO17" s="433"/>
      <c r="AR17" s="542"/>
      <c r="AS17" s="542"/>
      <c r="AT17" s="543"/>
    </row>
    <row r="18" spans="1:46" s="513" customFormat="1" ht="29.25" customHeight="1">
      <c r="A18" s="501">
        <v>3</v>
      </c>
      <c r="B18" s="515" t="s">
        <v>364</v>
      </c>
      <c r="C18" s="516" t="s">
        <v>7</v>
      </c>
      <c r="D18" s="504">
        <v>41110</v>
      </c>
      <c r="E18" s="505">
        <v>0</v>
      </c>
      <c r="F18" s="504">
        <f>D18+E18</f>
        <v>41110</v>
      </c>
      <c r="G18" s="506">
        <f t="shared" si="2"/>
        <v>14389</v>
      </c>
      <c r="H18" s="506">
        <v>1500</v>
      </c>
      <c r="I18" s="533">
        <v>1000</v>
      </c>
      <c r="J18" s="533"/>
      <c r="K18" s="533"/>
      <c r="L18" s="533"/>
      <c r="M18" s="506">
        <v>0</v>
      </c>
      <c r="N18" s="507">
        <f t="shared" si="3"/>
        <v>57999</v>
      </c>
      <c r="O18" s="508">
        <v>0</v>
      </c>
      <c r="P18" s="507">
        <v>0</v>
      </c>
      <c r="Q18" s="506">
        <f>ROUND(F18*0.41,0)</f>
        <v>16855</v>
      </c>
      <c r="R18" s="506">
        <f>N18+O18+P18+Q18</f>
        <v>74854</v>
      </c>
      <c r="S18" s="506">
        <v>25</v>
      </c>
      <c r="T18" s="506">
        <f>F18*25%</f>
        <v>10277.5</v>
      </c>
      <c r="U18" s="506"/>
      <c r="V18" s="506"/>
      <c r="W18" s="506"/>
      <c r="X18" s="506">
        <v>16855</v>
      </c>
      <c r="Y18" s="504">
        <v>250</v>
      </c>
      <c r="Z18" s="504">
        <v>800</v>
      </c>
      <c r="AA18" s="504">
        <v>0</v>
      </c>
      <c r="AB18" s="504"/>
      <c r="AC18" s="504"/>
      <c r="AD18" s="504">
        <f>G18</f>
        <v>14389</v>
      </c>
      <c r="AE18" s="544">
        <v>3025</v>
      </c>
      <c r="AF18" s="510"/>
      <c r="AG18" s="504">
        <v>0</v>
      </c>
      <c r="AH18" s="504">
        <f>10</f>
        <v>10</v>
      </c>
      <c r="AI18" s="511">
        <f t="shared" si="6"/>
        <v>45606.5</v>
      </c>
      <c r="AJ18" s="511">
        <f t="shared" si="7"/>
        <v>28751.5</v>
      </c>
      <c r="AK18" s="512">
        <f t="shared" si="8"/>
        <v>29247.5</v>
      </c>
      <c r="AM18" s="514"/>
      <c r="AO18" s="514"/>
      <c r="AR18" s="517"/>
      <c r="AS18" s="517"/>
      <c r="AT18" s="518"/>
    </row>
    <row r="19" spans="1:46" ht="29.25" customHeight="1">
      <c r="A19" s="535">
        <v>4</v>
      </c>
      <c r="B19" s="515" t="s">
        <v>365</v>
      </c>
      <c r="C19" s="537" t="s">
        <v>7</v>
      </c>
      <c r="D19" s="538">
        <v>37280</v>
      </c>
      <c r="E19" s="505">
        <v>0</v>
      </c>
      <c r="F19" s="504">
        <f>D19</f>
        <v>37280</v>
      </c>
      <c r="G19" s="506">
        <f>+ROUND(F19*0.35,0)</f>
        <v>13048</v>
      </c>
      <c r="H19" s="506">
        <v>1500</v>
      </c>
      <c r="I19" s="540"/>
      <c r="J19" s="540"/>
      <c r="K19" s="540"/>
      <c r="L19" s="540"/>
      <c r="M19" s="526">
        <v>0</v>
      </c>
      <c r="N19" s="507">
        <f t="shared" si="3"/>
        <v>51828</v>
      </c>
      <c r="O19" s="533">
        <f>ROUND(F19*10%,0)</f>
        <v>3728</v>
      </c>
      <c r="P19" s="533">
        <f>ROUND(D19*10%,0)</f>
        <v>3728</v>
      </c>
      <c r="Q19" s="540"/>
      <c r="R19" s="506">
        <f t="shared" si="4"/>
        <v>59284</v>
      </c>
      <c r="S19" s="506">
        <v>10</v>
      </c>
      <c r="T19" s="506">
        <f>F19*10%</f>
        <v>3728</v>
      </c>
      <c r="U19" s="506"/>
      <c r="V19" s="506">
        <f>O19</f>
        <v>3728</v>
      </c>
      <c r="W19" s="506">
        <f>P19</f>
        <v>3728</v>
      </c>
      <c r="X19" s="506"/>
      <c r="Y19" s="507">
        <v>250</v>
      </c>
      <c r="Z19" s="507">
        <v>500</v>
      </c>
      <c r="AA19" s="507"/>
      <c r="AB19" s="507"/>
      <c r="AC19" s="507"/>
      <c r="AD19" s="534"/>
      <c r="AE19" s="545">
        <v>3183</v>
      </c>
      <c r="AF19" s="541">
        <v>1130</v>
      </c>
      <c r="AG19" s="534">
        <v>0</v>
      </c>
      <c r="AH19" s="534">
        <v>10</v>
      </c>
      <c r="AI19" s="511">
        <f t="shared" si="6"/>
        <v>16257</v>
      </c>
      <c r="AJ19" s="511">
        <f t="shared" si="7"/>
        <v>16257</v>
      </c>
      <c r="AK19" s="512">
        <f t="shared" si="8"/>
        <v>43027</v>
      </c>
      <c r="AM19" s="530"/>
      <c r="AO19" s="433"/>
      <c r="AR19" s="542"/>
      <c r="AS19" s="542"/>
      <c r="AT19" s="543"/>
    </row>
    <row r="20" spans="1:46" s="513" customFormat="1" ht="26.25" customHeight="1">
      <c r="A20" s="546">
        <v>5</v>
      </c>
      <c r="B20" s="515" t="s">
        <v>366</v>
      </c>
      <c r="C20" s="516" t="s">
        <v>179</v>
      </c>
      <c r="D20" s="504">
        <v>25480</v>
      </c>
      <c r="E20" s="505">
        <v>0</v>
      </c>
      <c r="F20" s="504">
        <f>D20+E20</f>
        <v>25480</v>
      </c>
      <c r="G20" s="506">
        <f>+ROUND(F20*0.4,0)</f>
        <v>10192</v>
      </c>
      <c r="H20" s="506">
        <v>1500</v>
      </c>
      <c r="I20" s="506">
        <v>1000</v>
      </c>
      <c r="J20" s="506"/>
      <c r="K20" s="506"/>
      <c r="L20" s="506"/>
      <c r="M20" s="506">
        <v>0</v>
      </c>
      <c r="N20" s="507">
        <f t="shared" si="3"/>
        <v>38172</v>
      </c>
      <c r="O20" s="508"/>
      <c r="P20" s="507">
        <v>0</v>
      </c>
      <c r="Q20" s="506">
        <f>ROUND(F20*0.41,0)</f>
        <v>10447</v>
      </c>
      <c r="R20" s="506">
        <f t="shared" si="4"/>
        <v>48619</v>
      </c>
      <c r="S20" s="506">
        <v>25</v>
      </c>
      <c r="T20" s="506">
        <f>F20*25%</f>
        <v>6370</v>
      </c>
      <c r="U20" s="506"/>
      <c r="V20" s="506"/>
      <c r="W20" s="506"/>
      <c r="X20" s="506">
        <v>10447</v>
      </c>
      <c r="Y20" s="504">
        <f>200</f>
        <v>200</v>
      </c>
      <c r="Z20" s="504">
        <v>0</v>
      </c>
      <c r="AA20" s="504">
        <v>0</v>
      </c>
      <c r="AB20" s="504"/>
      <c r="AC20" s="504"/>
      <c r="AD20" s="504">
        <f>G20</f>
        <v>10192</v>
      </c>
      <c r="AE20" s="544">
        <v>3132</v>
      </c>
      <c r="AF20" s="510">
        <v>1130</v>
      </c>
      <c r="AG20" s="504">
        <v>0</v>
      </c>
      <c r="AH20" s="504">
        <v>10</v>
      </c>
      <c r="AI20" s="511">
        <f>T20+U20+V20+W20+X20+Y20+Z20+AA20+AB20+AC20+AD20+AE20+AF20+AH20</f>
        <v>31481</v>
      </c>
      <c r="AJ20" s="511">
        <f t="shared" si="7"/>
        <v>21034</v>
      </c>
      <c r="AK20" s="512">
        <f t="shared" si="8"/>
        <v>17138</v>
      </c>
      <c r="AM20" s="530"/>
    </row>
    <row r="21" spans="1:46" ht="12.75" hidden="1" customHeight="1">
      <c r="A21" s="501">
        <v>4</v>
      </c>
      <c r="B21" s="515" t="s">
        <v>367</v>
      </c>
      <c r="C21" s="516"/>
      <c r="D21" s="507">
        <v>603</v>
      </c>
      <c r="E21" s="505">
        <f t="shared" si="0"/>
        <v>30.150000000000002</v>
      </c>
      <c r="F21" s="504">
        <f>D21+E21</f>
        <v>633.15</v>
      </c>
      <c r="G21" s="506">
        <f t="shared" si="2"/>
        <v>222</v>
      </c>
      <c r="H21" s="506">
        <v>49</v>
      </c>
      <c r="I21" s="506">
        <v>0</v>
      </c>
      <c r="J21" s="506"/>
      <c r="K21" s="506"/>
      <c r="L21" s="506"/>
      <c r="M21" s="506">
        <v>0</v>
      </c>
      <c r="N21" s="507">
        <f t="shared" si="3"/>
        <v>934.3</v>
      </c>
      <c r="O21" s="533">
        <f>ROUND(F21*10%,0)</f>
        <v>63</v>
      </c>
      <c r="P21" s="507">
        <f>ROUND(D21*10%,0)</f>
        <v>60</v>
      </c>
      <c r="Q21" s="533">
        <v>0</v>
      </c>
      <c r="R21" s="506">
        <f t="shared" si="4"/>
        <v>1057.3</v>
      </c>
      <c r="S21" s="506"/>
      <c r="T21" s="506">
        <f t="shared" si="5"/>
        <v>158.28749999999999</v>
      </c>
      <c r="U21" s="506"/>
      <c r="V21" s="506"/>
      <c r="W21" s="506"/>
      <c r="X21" s="506">
        <v>0</v>
      </c>
      <c r="Y21" s="504">
        <f>ROUND(F21*1%,0)</f>
        <v>6</v>
      </c>
      <c r="Z21" s="504">
        <v>0</v>
      </c>
      <c r="AA21" s="504">
        <v>0</v>
      </c>
      <c r="AB21" s="504"/>
      <c r="AC21" s="504"/>
      <c r="AD21" s="504">
        <v>0</v>
      </c>
      <c r="AE21" s="544">
        <v>0</v>
      </c>
      <c r="AF21" s="510">
        <v>0</v>
      </c>
      <c r="AG21" s="504">
        <v>0</v>
      </c>
      <c r="AH21" s="504">
        <f>10</f>
        <v>10</v>
      </c>
      <c r="AI21" s="511">
        <f t="shared" si="6"/>
        <v>174.28749999999999</v>
      </c>
      <c r="AJ21" s="511">
        <f>AI21-X21</f>
        <v>174.28749999999999</v>
      </c>
      <c r="AK21" s="512">
        <f>R21-AI21</f>
        <v>883.01249999999993</v>
      </c>
    </row>
    <row r="22" spans="1:46" ht="27" customHeight="1">
      <c r="A22" s="547">
        <v>6</v>
      </c>
      <c r="B22" s="536" t="s">
        <v>368</v>
      </c>
      <c r="C22" s="537" t="s">
        <v>179</v>
      </c>
      <c r="D22" s="534">
        <v>24260</v>
      </c>
      <c r="E22" s="505">
        <v>0</v>
      </c>
      <c r="F22" s="504">
        <f>D22+E22</f>
        <v>24260</v>
      </c>
      <c r="G22" s="506">
        <f>+ROUND(F22*0.4,0)</f>
        <v>9704</v>
      </c>
      <c r="H22" s="506">
        <v>1500</v>
      </c>
      <c r="I22" s="526"/>
      <c r="J22" s="526"/>
      <c r="K22" s="526"/>
      <c r="L22" s="526"/>
      <c r="M22" s="526">
        <v>0</v>
      </c>
      <c r="N22" s="507">
        <f t="shared" si="3"/>
        <v>35464</v>
      </c>
      <c r="O22" s="533">
        <f>ROUND(F22*10%,0)</f>
        <v>2426</v>
      </c>
      <c r="P22" s="533">
        <f>ROUND(D22*10%,0)</f>
        <v>2426</v>
      </c>
      <c r="Q22" s="526"/>
      <c r="R22" s="506">
        <f t="shared" si="4"/>
        <v>40316</v>
      </c>
      <c r="S22" s="506">
        <v>10</v>
      </c>
      <c r="T22" s="506">
        <f>F22*10%</f>
        <v>2426</v>
      </c>
      <c r="U22" s="506"/>
      <c r="V22" s="506">
        <f>O22</f>
        <v>2426</v>
      </c>
      <c r="W22" s="506">
        <f>P22</f>
        <v>2426</v>
      </c>
      <c r="X22" s="506"/>
      <c r="Y22" s="507">
        <v>200</v>
      </c>
      <c r="Z22" s="507">
        <v>0</v>
      </c>
      <c r="AA22" s="507"/>
      <c r="AB22" s="507"/>
      <c r="AC22" s="507"/>
      <c r="AD22" s="534"/>
      <c r="AE22" s="545"/>
      <c r="AF22" s="541"/>
      <c r="AG22" s="534">
        <v>0</v>
      </c>
      <c r="AH22" s="534">
        <f>10</f>
        <v>10</v>
      </c>
      <c r="AI22" s="511">
        <f t="shared" si="6"/>
        <v>7488</v>
      </c>
      <c r="AJ22" s="511">
        <f t="shared" si="7"/>
        <v>7488</v>
      </c>
      <c r="AK22" s="512">
        <f t="shared" si="8"/>
        <v>32828</v>
      </c>
    </row>
    <row r="23" spans="1:46" ht="25.5" customHeight="1">
      <c r="A23" s="547">
        <v>7</v>
      </c>
      <c r="B23" s="515" t="s">
        <v>369</v>
      </c>
      <c r="C23" s="537" t="s">
        <v>1</v>
      </c>
      <c r="D23" s="534">
        <v>16000</v>
      </c>
      <c r="E23" s="548">
        <v>0</v>
      </c>
      <c r="F23" s="504">
        <f>D23</f>
        <v>16000</v>
      </c>
      <c r="G23" s="506">
        <f>+ROUND(F23*0.45,0)</f>
        <v>7200</v>
      </c>
      <c r="H23" s="506">
        <v>1500</v>
      </c>
      <c r="I23" s="526"/>
      <c r="J23" s="526"/>
      <c r="K23" s="526"/>
      <c r="L23" s="526"/>
      <c r="M23" s="526">
        <v>0</v>
      </c>
      <c r="N23" s="507">
        <f t="shared" si="3"/>
        <v>24700</v>
      </c>
      <c r="O23" s="533">
        <f>ROUND(F23*10%,0)</f>
        <v>1600</v>
      </c>
      <c r="P23" s="533">
        <f>ROUND(D23*10%,0)</f>
        <v>1600</v>
      </c>
      <c r="Q23" s="526"/>
      <c r="R23" s="506">
        <f t="shared" si="4"/>
        <v>27900</v>
      </c>
      <c r="S23" s="506">
        <v>10</v>
      </c>
      <c r="T23" s="506">
        <f>F23*10%</f>
        <v>1600</v>
      </c>
      <c r="U23" s="506"/>
      <c r="V23" s="506">
        <f>O23</f>
        <v>1600</v>
      </c>
      <c r="W23" s="506">
        <f>P23</f>
        <v>1600</v>
      </c>
      <c r="X23" s="506"/>
      <c r="Y23" s="507">
        <v>200</v>
      </c>
      <c r="Z23" s="507">
        <v>0</v>
      </c>
      <c r="AA23" s="507"/>
      <c r="AB23" s="507"/>
      <c r="AC23" s="507"/>
      <c r="AD23" s="534"/>
      <c r="AE23" s="545"/>
      <c r="AF23" s="541"/>
      <c r="AG23" s="534">
        <v>0</v>
      </c>
      <c r="AH23" s="534">
        <v>10</v>
      </c>
      <c r="AI23" s="511">
        <f t="shared" si="6"/>
        <v>5010</v>
      </c>
      <c r="AJ23" s="511">
        <f t="shared" si="7"/>
        <v>5010</v>
      </c>
      <c r="AK23" s="512">
        <f t="shared" si="8"/>
        <v>22890</v>
      </c>
    </row>
    <row r="24" spans="1:46" ht="14.25" customHeight="1">
      <c r="A24" s="549"/>
      <c r="B24" s="550" t="s">
        <v>20</v>
      </c>
      <c r="C24" s="551"/>
      <c r="D24" s="527">
        <f>D17+D20+D18+D10+D22+D19+D23</f>
        <v>241380</v>
      </c>
      <c r="E24" s="527">
        <v>0</v>
      </c>
      <c r="F24" s="527">
        <f>F17+F20+F18+F10+F22+F19+F23</f>
        <v>241380</v>
      </c>
      <c r="G24" s="527">
        <f>G17+G20+G18+G10+G22+G19+G23</f>
        <v>88571</v>
      </c>
      <c r="H24" s="527">
        <f>H17+H20+H18+H10+H22+H19+H23</f>
        <v>10500</v>
      </c>
      <c r="I24" s="527">
        <f>I17+I20+I18+I10+I22+I19+I23</f>
        <v>3500</v>
      </c>
      <c r="J24" s="527"/>
      <c r="K24" s="527"/>
      <c r="L24" s="527"/>
      <c r="M24" s="527">
        <f>M17+M20+M18+M10+M22+M19+M23</f>
        <v>200</v>
      </c>
      <c r="N24" s="507">
        <f t="shared" si="3"/>
        <v>344151</v>
      </c>
      <c r="O24" s="527">
        <f>O17+O20+O18+O10+O22+O19+O23</f>
        <v>12071</v>
      </c>
      <c r="P24" s="527">
        <f>P17+P20+P18+P10+P22+P19+P23</f>
        <v>12071</v>
      </c>
      <c r="Q24" s="527">
        <f>Q17+Q20+Q18+Q10+Q22+Q19+Q23</f>
        <v>49475</v>
      </c>
      <c r="R24" s="527">
        <f>R17+R20+R18+R10+R22+R19+R23</f>
        <v>417768</v>
      </c>
      <c r="S24" s="527"/>
      <c r="T24" s="552">
        <f>T17+T20+T18+T10+T22+T19+T23</f>
        <v>42238.5</v>
      </c>
      <c r="U24" s="552"/>
      <c r="V24" s="552">
        <f>V17+V20+V18+V10+V22+V19+V23</f>
        <v>12071</v>
      </c>
      <c r="W24" s="552">
        <f>W17+W20+W18+W10+W22+W19+W23</f>
        <v>12071</v>
      </c>
      <c r="X24" s="527">
        <v>49475</v>
      </c>
      <c r="Y24" s="527">
        <f>Y17+Y20+Y18+Y10+Y22+Y19+Y23</f>
        <v>1600</v>
      </c>
      <c r="Z24" s="527">
        <v>4235</v>
      </c>
      <c r="AA24" s="527">
        <v>18</v>
      </c>
      <c r="AB24" s="527"/>
      <c r="AC24" s="527"/>
      <c r="AD24" s="527">
        <f t="shared" ref="AD24:AJ24" si="9">AD17+AD20+AD18+AD10+AD22+AD19+AD23</f>
        <v>62201</v>
      </c>
      <c r="AE24" s="553">
        <f t="shared" si="9"/>
        <v>12365</v>
      </c>
      <c r="AF24" s="527">
        <f t="shared" si="9"/>
        <v>3390</v>
      </c>
      <c r="AG24" s="527">
        <f t="shared" si="9"/>
        <v>0</v>
      </c>
      <c r="AH24" s="527">
        <f t="shared" si="9"/>
        <v>70</v>
      </c>
      <c r="AI24" s="553">
        <f t="shared" si="9"/>
        <v>199734.5</v>
      </c>
      <c r="AJ24" s="553">
        <f t="shared" si="9"/>
        <v>150259.5</v>
      </c>
      <c r="AK24" s="554">
        <f>AK17+AK20+AK18+AK10+AK22+AK19+AK23</f>
        <v>218033.5</v>
      </c>
      <c r="AL24" s="555"/>
    </row>
    <row r="25" spans="1:46" ht="9.75" customHeight="1">
      <c r="A25" s="556"/>
      <c r="B25" s="557"/>
      <c r="C25" s="557"/>
      <c r="D25" s="558"/>
      <c r="E25" s="558"/>
      <c r="F25" s="558"/>
      <c r="G25" s="558"/>
      <c r="H25" s="558"/>
      <c r="I25" s="558"/>
      <c r="J25" s="558"/>
      <c r="K25" s="558"/>
      <c r="L25" s="558"/>
      <c r="M25" s="558"/>
      <c r="N25" s="558"/>
      <c r="O25" s="558"/>
      <c r="P25" s="558"/>
      <c r="Q25" s="558"/>
      <c r="R25" s="558"/>
      <c r="S25" s="558"/>
      <c r="T25" s="558"/>
      <c r="U25" s="558"/>
      <c r="V25" s="558"/>
      <c r="W25" s="558"/>
      <c r="X25" s="558"/>
      <c r="Y25" s="559"/>
      <c r="Z25" s="559"/>
      <c r="AA25" s="559"/>
      <c r="AB25" s="559"/>
      <c r="AC25" s="559"/>
      <c r="AD25" s="558"/>
      <c r="AE25" s="560"/>
      <c r="AF25" s="558"/>
      <c r="AG25" s="558"/>
      <c r="AH25" s="558"/>
      <c r="AI25" s="558"/>
      <c r="AJ25" s="561"/>
      <c r="AK25" s="562"/>
    </row>
    <row r="26" spans="1:46" ht="16.5" customHeight="1">
      <c r="A26" s="563"/>
      <c r="B26" s="734" t="s">
        <v>370</v>
      </c>
      <c r="C26" s="734"/>
      <c r="D26" s="734"/>
      <c r="E26" s="734"/>
      <c r="F26" s="564"/>
      <c r="G26" s="565" t="s">
        <v>371</v>
      </c>
      <c r="H26" s="566"/>
      <c r="I26" s="566"/>
      <c r="J26" s="566"/>
      <c r="K26" s="566"/>
      <c r="L26" s="566"/>
      <c r="M26" s="567"/>
      <c r="N26" s="567"/>
      <c r="O26" s="567"/>
      <c r="P26" s="567"/>
      <c r="Q26" s="567"/>
      <c r="R26" s="567"/>
      <c r="S26" s="567"/>
      <c r="T26" s="567"/>
      <c r="U26" s="567"/>
      <c r="V26" s="567"/>
      <c r="W26" s="567"/>
      <c r="X26" s="567"/>
      <c r="Y26" s="547"/>
      <c r="Z26" s="547"/>
      <c r="AA26" s="547"/>
      <c r="AB26" s="547"/>
      <c r="AC26" s="547"/>
      <c r="AD26" s="568"/>
      <c r="AE26" s="569"/>
      <c r="AF26" s="569"/>
      <c r="AJ26" s="570"/>
      <c r="AK26" s="414"/>
    </row>
    <row r="27" spans="1:46" ht="16.5" customHeight="1">
      <c r="A27" s="563"/>
      <c r="B27" s="567" t="s">
        <v>372</v>
      </c>
      <c r="C27" s="567"/>
      <c r="D27" s="571"/>
      <c r="E27" s="571"/>
      <c r="F27" s="564"/>
      <c r="G27" s="572"/>
      <c r="H27" s="567"/>
      <c r="I27" s="567"/>
      <c r="J27" s="567"/>
      <c r="K27" s="567"/>
      <c r="L27" s="567"/>
      <c r="M27" s="567"/>
      <c r="N27" s="567"/>
      <c r="O27" s="567"/>
      <c r="P27" s="567"/>
      <c r="Q27" s="567"/>
      <c r="R27" s="567"/>
      <c r="S27" s="567"/>
      <c r="T27" s="567"/>
      <c r="U27" s="567"/>
      <c r="V27" s="567"/>
      <c r="W27" s="567"/>
      <c r="X27" s="567"/>
      <c r="Y27" s="547"/>
      <c r="Z27" s="547"/>
      <c r="AA27" s="547"/>
      <c r="AB27" s="547"/>
      <c r="AC27" s="547"/>
      <c r="AD27" s="573"/>
      <c r="AE27" s="569"/>
      <c r="AF27" s="569"/>
      <c r="AJ27" s="570"/>
      <c r="AK27" s="414"/>
      <c r="AM27" s="433"/>
    </row>
    <row r="28" spans="1:46" ht="11.25" customHeight="1">
      <c r="A28" s="567"/>
      <c r="B28" s="567" t="s">
        <v>373</v>
      </c>
      <c r="C28" s="567"/>
      <c r="D28" s="574"/>
      <c r="E28" s="574"/>
      <c r="F28" s="574"/>
      <c r="G28" s="574"/>
      <c r="H28" s="574"/>
      <c r="I28" s="574"/>
      <c r="J28" s="574"/>
      <c r="K28" s="574"/>
      <c r="L28" s="574"/>
      <c r="M28" s="574"/>
      <c r="N28" s="574"/>
      <c r="O28" s="574"/>
      <c r="P28" s="574"/>
      <c r="Q28" s="574"/>
      <c r="R28" s="574"/>
      <c r="S28" s="574"/>
      <c r="T28" s="574"/>
      <c r="U28" s="574"/>
      <c r="V28" s="574"/>
      <c r="W28" s="574"/>
      <c r="X28" s="574"/>
      <c r="Y28" s="575"/>
      <c r="Z28" s="575"/>
      <c r="AA28" s="575"/>
      <c r="AB28" s="575"/>
      <c r="AC28" s="575"/>
      <c r="AD28" s="576"/>
      <c r="AE28" s="577"/>
      <c r="AF28" s="575"/>
      <c r="AG28" s="575"/>
      <c r="AH28" s="574"/>
      <c r="AI28" s="574"/>
      <c r="AJ28" s="473"/>
      <c r="AK28" s="414"/>
    </row>
    <row r="29" spans="1:46" ht="17.25" customHeight="1">
      <c r="A29" s="563"/>
      <c r="B29" s="567" t="s">
        <v>374</v>
      </c>
      <c r="C29" s="567"/>
      <c r="D29" s="567"/>
      <c r="E29" s="567"/>
      <c r="F29" s="567"/>
      <c r="H29" s="567"/>
      <c r="I29" s="567"/>
      <c r="J29" s="567"/>
      <c r="K29" s="567"/>
      <c r="L29" s="567"/>
      <c r="M29" s="567"/>
      <c r="N29" s="567"/>
      <c r="O29" s="567"/>
      <c r="P29" s="567"/>
      <c r="Q29" s="567"/>
      <c r="R29" s="567"/>
      <c r="S29" s="567"/>
      <c r="T29" s="567"/>
      <c r="U29" s="567"/>
      <c r="V29" s="567"/>
      <c r="W29" s="567"/>
      <c r="X29" s="567"/>
      <c r="Y29" s="547"/>
      <c r="Z29" s="547"/>
      <c r="AA29" s="547"/>
      <c r="AB29" s="547"/>
      <c r="AC29" s="547"/>
      <c r="AD29" s="567"/>
      <c r="AE29" s="569"/>
      <c r="AF29" s="569"/>
      <c r="AJ29" s="578"/>
      <c r="AK29" s="414"/>
    </row>
    <row r="30" spans="1:46" ht="14.25" customHeight="1">
      <c r="A30" s="563"/>
      <c r="B30" s="579" t="s">
        <v>375</v>
      </c>
      <c r="C30" s="579"/>
      <c r="D30" s="758" t="s">
        <v>376</v>
      </c>
      <c r="E30" s="759"/>
      <c r="F30" s="759"/>
      <c r="G30" s="758" t="s">
        <v>377</v>
      </c>
      <c r="H30" s="758"/>
      <c r="I30" s="758"/>
      <c r="J30" s="758"/>
      <c r="K30" s="758"/>
      <c r="L30" s="758"/>
      <c r="M30" s="758"/>
      <c r="N30" s="429" t="s">
        <v>378</v>
      </c>
      <c r="O30" s="429"/>
      <c r="P30" s="429"/>
      <c r="Q30" s="429"/>
      <c r="R30" s="429"/>
      <c r="S30" s="429"/>
      <c r="T30" s="429"/>
      <c r="U30" s="429"/>
      <c r="V30" s="429"/>
      <c r="W30" s="429"/>
      <c r="X30" s="429"/>
      <c r="Y30" s="760" t="s">
        <v>379</v>
      </c>
      <c r="Z30" s="760"/>
      <c r="AA30" s="760"/>
      <c r="AB30" s="760"/>
      <c r="AC30" s="760"/>
      <c r="AD30" s="760"/>
      <c r="AE30" s="760"/>
      <c r="AF30" s="760"/>
      <c r="AG30" s="565"/>
      <c r="AH30" s="565"/>
      <c r="AI30" s="565"/>
      <c r="AJ30" s="578"/>
      <c r="AK30" s="414"/>
      <c r="AM30" s="433"/>
    </row>
    <row r="31" spans="1:46" ht="12" customHeight="1">
      <c r="A31" s="563"/>
      <c r="B31" s="579" t="s">
        <v>380</v>
      </c>
      <c r="C31" s="579"/>
      <c r="D31" s="763" t="s">
        <v>1</v>
      </c>
      <c r="E31" s="763"/>
      <c r="F31" s="763"/>
      <c r="G31" s="760" t="s">
        <v>381</v>
      </c>
      <c r="H31" s="760"/>
      <c r="I31" s="760"/>
      <c r="J31" s="760"/>
      <c r="K31" s="760"/>
      <c r="L31" s="760"/>
      <c r="M31" s="760"/>
      <c r="N31" s="430" t="s">
        <v>382</v>
      </c>
      <c r="O31" s="430"/>
      <c r="P31" s="430"/>
      <c r="Q31" s="430"/>
      <c r="R31" s="430"/>
      <c r="S31" s="430"/>
      <c r="T31" s="430"/>
      <c r="U31" s="430"/>
      <c r="V31" s="430"/>
      <c r="W31" s="430"/>
      <c r="X31" s="430"/>
      <c r="Y31" s="760" t="s">
        <v>360</v>
      </c>
      <c r="Z31" s="760"/>
      <c r="AA31" s="760"/>
      <c r="AB31" s="760"/>
      <c r="AC31" s="760"/>
      <c r="AD31" s="760"/>
      <c r="AE31" s="760"/>
      <c r="AF31" s="760"/>
      <c r="AG31" s="429"/>
      <c r="AH31" s="436"/>
      <c r="AI31" s="436"/>
      <c r="AJ31" s="578"/>
      <c r="AK31" s="414"/>
    </row>
    <row r="32" spans="1:46" ht="12" customHeight="1">
      <c r="A32" s="563"/>
      <c r="B32" s="579" t="s">
        <v>383</v>
      </c>
      <c r="C32" s="579"/>
      <c r="D32" s="567"/>
      <c r="F32" s="429"/>
      <c r="G32" s="436"/>
      <c r="H32" s="436"/>
      <c r="I32" s="436"/>
      <c r="J32" s="436"/>
      <c r="K32" s="436"/>
      <c r="L32" s="436"/>
      <c r="M32" s="436"/>
      <c r="Y32" s="436"/>
      <c r="Z32" s="436"/>
      <c r="AA32" s="436"/>
      <c r="AB32" s="436"/>
      <c r="AC32" s="436"/>
      <c r="AD32" s="436"/>
      <c r="AE32" s="429"/>
      <c r="AF32" s="436"/>
      <c r="AG32" s="436"/>
      <c r="AH32" s="436"/>
      <c r="AI32" s="436"/>
      <c r="AJ32" s="578"/>
      <c r="AK32" s="414"/>
    </row>
    <row r="33" spans="1:37" ht="12" customHeight="1">
      <c r="A33" s="563"/>
      <c r="D33" s="567"/>
      <c r="F33" s="429"/>
      <c r="G33" s="436"/>
      <c r="H33" s="436"/>
      <c r="I33" s="436"/>
      <c r="J33" s="436"/>
      <c r="K33" s="436"/>
      <c r="L33" s="436"/>
      <c r="M33" s="436"/>
      <c r="Y33" s="436"/>
      <c r="Z33" s="436"/>
      <c r="AA33" s="436"/>
      <c r="AB33" s="436"/>
      <c r="AC33" s="436"/>
      <c r="AD33" s="436"/>
      <c r="AE33" s="429"/>
      <c r="AF33" s="436"/>
      <c r="AG33" s="436"/>
      <c r="AH33" s="436"/>
      <c r="AI33" s="436"/>
      <c r="AJ33" s="578"/>
      <c r="AK33" s="414"/>
    </row>
    <row r="34" spans="1:37">
      <c r="B34" s="579"/>
      <c r="C34" s="579"/>
      <c r="AJ34" s="578"/>
      <c r="AK34" s="414"/>
    </row>
    <row r="35" spans="1:37" ht="15.75">
      <c r="A35" s="761" t="s">
        <v>259</v>
      </c>
      <c r="B35" s="762"/>
      <c r="C35" s="762"/>
      <c r="D35" s="762"/>
      <c r="E35" s="762"/>
      <c r="F35" s="762"/>
      <c r="G35" s="762"/>
      <c r="H35" s="762"/>
      <c r="I35" s="762"/>
      <c r="J35" s="762"/>
      <c r="K35" s="762"/>
      <c r="L35" s="762"/>
      <c r="M35" s="762"/>
      <c r="N35" s="762"/>
      <c r="O35" s="762"/>
      <c r="P35" s="762"/>
      <c r="Q35" s="762"/>
      <c r="R35" s="762"/>
      <c r="S35" s="762"/>
      <c r="T35" s="762"/>
      <c r="U35" s="762"/>
      <c r="V35" s="762"/>
      <c r="W35" s="762"/>
      <c r="X35" s="762"/>
      <c r="Y35" s="762"/>
      <c r="Z35" s="762"/>
      <c r="AA35" s="762"/>
      <c r="AB35" s="762"/>
      <c r="AC35" s="762"/>
      <c r="AD35" s="762"/>
      <c r="AE35" s="762"/>
      <c r="AF35" s="762"/>
      <c r="AG35" s="762"/>
      <c r="AH35" s="762"/>
      <c r="AI35" s="762"/>
      <c r="AJ35" s="762"/>
      <c r="AK35" s="762"/>
    </row>
    <row r="36" spans="1:37">
      <c r="B36" s="579"/>
      <c r="C36" s="579"/>
      <c r="N36" s="580"/>
      <c r="O36" s="580"/>
      <c r="P36" s="580"/>
      <c r="Q36" s="580"/>
      <c r="R36" s="580"/>
      <c r="S36" s="580"/>
      <c r="T36" s="580"/>
      <c r="U36" s="580"/>
      <c r="V36" s="580"/>
      <c r="W36" s="580"/>
      <c r="X36" s="580"/>
      <c r="AJ36" s="578"/>
      <c r="AK36" s="414"/>
    </row>
    <row r="37" spans="1:37">
      <c r="B37" s="579"/>
      <c r="C37" s="579"/>
      <c r="N37" s="580"/>
      <c r="O37" s="580"/>
      <c r="P37" s="580"/>
      <c r="Q37" s="580"/>
      <c r="R37" s="580"/>
      <c r="S37" s="580"/>
      <c r="T37" s="580"/>
      <c r="U37" s="580"/>
      <c r="V37" s="580"/>
      <c r="W37" s="580"/>
      <c r="X37" s="580"/>
      <c r="AJ37" s="578"/>
      <c r="AK37" s="414"/>
    </row>
    <row r="38" spans="1:37">
      <c r="B38" s="579"/>
      <c r="C38" s="579"/>
      <c r="N38" s="580"/>
      <c r="O38" s="580"/>
      <c r="P38" s="580"/>
      <c r="Q38" s="580"/>
      <c r="R38" s="580"/>
      <c r="S38" s="580"/>
      <c r="T38" s="580"/>
      <c r="U38" s="580"/>
      <c r="V38" s="580"/>
      <c r="W38" s="580"/>
      <c r="X38" s="580"/>
      <c r="AJ38" s="578"/>
      <c r="AK38" s="414"/>
    </row>
    <row r="39" spans="1:37" ht="15.75">
      <c r="A39" s="581"/>
      <c r="B39" s="582"/>
      <c r="C39" s="582"/>
      <c r="D39" s="582"/>
      <c r="E39" s="582"/>
      <c r="F39" s="582"/>
      <c r="G39" s="582"/>
      <c r="H39" s="582"/>
      <c r="I39" s="582"/>
      <c r="J39" s="582"/>
      <c r="K39" s="582"/>
      <c r="L39" s="582"/>
      <c r="M39" s="582"/>
      <c r="N39" s="761" t="s">
        <v>384</v>
      </c>
      <c r="O39" s="761"/>
      <c r="P39" s="761"/>
      <c r="Q39" s="761"/>
      <c r="R39" s="761"/>
      <c r="S39" s="761"/>
      <c r="T39" s="761"/>
      <c r="U39" s="761"/>
      <c r="V39" s="583"/>
      <c r="W39" s="583"/>
      <c r="X39" s="583"/>
      <c r="Y39" s="582"/>
      <c r="Z39" s="582"/>
      <c r="AA39" s="582"/>
      <c r="AB39" s="582"/>
      <c r="AC39" s="582"/>
      <c r="AD39" s="582"/>
      <c r="AE39" s="582"/>
      <c r="AF39" s="582"/>
      <c r="AG39" s="582"/>
      <c r="AH39" s="582"/>
      <c r="AI39" s="582"/>
      <c r="AJ39" s="582"/>
      <c r="AK39" s="582"/>
    </row>
    <row r="40" spans="1:37" ht="15.75">
      <c r="A40" s="584" t="s">
        <v>385</v>
      </c>
      <c r="B40" s="566"/>
      <c r="C40" s="566"/>
      <c r="D40" s="566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85"/>
      <c r="P40" s="585"/>
      <c r="Q40" s="585"/>
      <c r="R40" s="585"/>
      <c r="S40" s="585"/>
      <c r="T40" s="585"/>
      <c r="U40" s="585"/>
      <c r="V40" s="585"/>
      <c r="W40" s="585"/>
      <c r="X40" s="585"/>
      <c r="Y40" s="566"/>
      <c r="Z40" s="566"/>
      <c r="AA40" s="566"/>
      <c r="AB40" s="566"/>
      <c r="AC40" s="566"/>
      <c r="AD40" s="566"/>
      <c r="AF40" s="566"/>
      <c r="AG40" s="566"/>
      <c r="AH40" s="566"/>
      <c r="AI40" s="566"/>
      <c r="AJ40" s="566"/>
      <c r="AK40" s="566"/>
    </row>
    <row r="41" spans="1:37" ht="11.25" customHeight="1">
      <c r="A41" s="563"/>
      <c r="B41" s="567"/>
      <c r="C41" s="567"/>
      <c r="D41" s="567"/>
      <c r="E41" s="567"/>
      <c r="F41" s="564"/>
      <c r="N41" s="567"/>
      <c r="O41" s="567"/>
      <c r="P41" s="567"/>
      <c r="Q41" s="567"/>
      <c r="R41" s="567"/>
      <c r="S41" s="567"/>
      <c r="T41" s="567"/>
      <c r="U41" s="567"/>
      <c r="V41" s="567"/>
      <c r="W41" s="567"/>
      <c r="X41" s="567"/>
      <c r="Y41" s="567"/>
      <c r="Z41" s="567"/>
      <c r="AA41" s="567"/>
      <c r="AB41" s="567"/>
      <c r="AC41" s="567"/>
      <c r="AD41" s="586"/>
      <c r="AE41" s="587"/>
      <c r="AF41" s="567"/>
      <c r="AG41" s="588"/>
    </row>
    <row r="42" spans="1:37" ht="16.5" customHeight="1">
      <c r="A42" s="563"/>
      <c r="B42" s="734"/>
      <c r="C42" s="734"/>
      <c r="D42" s="734"/>
      <c r="E42" s="734"/>
      <c r="F42" s="564"/>
      <c r="G42" s="758"/>
      <c r="H42" s="758"/>
      <c r="I42" s="572"/>
      <c r="J42" s="572"/>
      <c r="K42" s="572"/>
      <c r="L42" s="572"/>
      <c r="M42" s="572"/>
      <c r="N42" s="586"/>
      <c r="O42" s="586"/>
      <c r="P42" s="586"/>
      <c r="Q42" s="586"/>
      <c r="R42" s="586"/>
      <c r="S42" s="586"/>
      <c r="T42" s="586"/>
      <c r="U42" s="586"/>
      <c r="V42" s="586"/>
      <c r="W42" s="586"/>
      <c r="X42" s="586"/>
      <c r="Y42" s="567"/>
      <c r="Z42" s="567"/>
      <c r="AA42" s="567"/>
      <c r="AB42" s="567"/>
      <c r="AC42" s="567"/>
      <c r="AD42" s="573"/>
      <c r="AE42" s="589"/>
      <c r="AF42" s="573"/>
      <c r="AG42" s="569"/>
    </row>
    <row r="43" spans="1:37" ht="11.25" customHeight="1">
      <c r="A43" s="567"/>
      <c r="B43" s="567"/>
      <c r="C43" s="567"/>
      <c r="D43" s="574"/>
      <c r="E43" s="574"/>
      <c r="F43" s="574"/>
      <c r="G43" s="574"/>
      <c r="H43" s="574"/>
      <c r="I43" s="574"/>
      <c r="J43" s="574"/>
      <c r="K43" s="574"/>
      <c r="L43" s="574"/>
      <c r="M43" s="574"/>
      <c r="N43" s="574"/>
      <c r="O43" s="574"/>
      <c r="P43" s="574"/>
      <c r="Q43" s="574"/>
      <c r="R43" s="574"/>
      <c r="S43" s="574"/>
      <c r="T43" s="574"/>
      <c r="U43" s="574"/>
      <c r="V43" s="574"/>
      <c r="W43" s="574"/>
      <c r="X43" s="574"/>
      <c r="Y43" s="575"/>
      <c r="Z43" s="575"/>
      <c r="AA43" s="575"/>
      <c r="AB43" s="575"/>
      <c r="AC43" s="575"/>
      <c r="AD43" s="576"/>
      <c r="AE43" s="577"/>
      <c r="AF43" s="576"/>
      <c r="AG43" s="575"/>
      <c r="AH43" s="575"/>
      <c r="AI43" s="575"/>
      <c r="AJ43" s="574"/>
      <c r="AK43" s="473"/>
    </row>
    <row r="44" spans="1:37" ht="11.25" customHeight="1">
      <c r="A44" s="563"/>
      <c r="B44" s="567"/>
      <c r="C44" s="567"/>
      <c r="D44" s="567"/>
      <c r="E44" s="567"/>
      <c r="F44" s="567"/>
      <c r="G44" s="567"/>
      <c r="H44" s="567"/>
      <c r="I44" s="567"/>
      <c r="J44" s="567"/>
      <c r="K44" s="567"/>
      <c r="L44" s="567"/>
      <c r="M44" s="567"/>
      <c r="N44" s="567"/>
      <c r="O44" s="567"/>
      <c r="P44" s="567"/>
      <c r="Q44" s="567"/>
      <c r="R44" s="567"/>
      <c r="S44" s="567"/>
      <c r="T44" s="567"/>
      <c r="U44" s="567"/>
      <c r="V44" s="567"/>
      <c r="W44" s="567"/>
      <c r="X44" s="567"/>
      <c r="Y44" s="567"/>
      <c r="Z44" s="567"/>
      <c r="AA44" s="567"/>
      <c r="AB44" s="567"/>
      <c r="AC44" s="567"/>
      <c r="AD44" s="567"/>
      <c r="AE44" s="587"/>
      <c r="AF44" s="567"/>
      <c r="AG44" s="569"/>
    </row>
    <row r="45" spans="1:37" ht="14.25" customHeight="1">
      <c r="A45" s="563"/>
      <c r="B45" s="567"/>
      <c r="C45" s="567"/>
      <c r="G45" s="760"/>
      <c r="H45" s="760"/>
      <c r="I45" s="760"/>
      <c r="J45" s="760"/>
      <c r="K45" s="760"/>
      <c r="L45" s="760"/>
      <c r="M45" s="760"/>
      <c r="N45" s="429"/>
      <c r="O45" s="429"/>
      <c r="P45" s="429"/>
      <c r="Q45" s="429"/>
      <c r="R45" s="429"/>
      <c r="S45" s="429"/>
      <c r="T45" s="429"/>
      <c r="U45" s="429"/>
      <c r="V45" s="429"/>
      <c r="W45" s="429"/>
      <c r="X45" s="429"/>
      <c r="Y45" s="758"/>
      <c r="Z45" s="758"/>
      <c r="AA45" s="758"/>
      <c r="AB45" s="758"/>
      <c r="AC45" s="758"/>
      <c r="AD45" s="758"/>
      <c r="AE45" s="758"/>
      <c r="AF45" s="758"/>
      <c r="AG45" s="758"/>
      <c r="AH45" s="758"/>
      <c r="AI45" s="758"/>
      <c r="AJ45" s="758"/>
    </row>
    <row r="46" spans="1:37" ht="12" customHeight="1">
      <c r="A46" s="563"/>
      <c r="B46" s="398"/>
      <c r="C46" s="398"/>
      <c r="D46" s="590"/>
      <c r="E46" s="591"/>
      <c r="F46" s="592"/>
      <c r="G46" s="592"/>
      <c r="H46" s="592"/>
      <c r="I46" s="592"/>
      <c r="J46" s="592"/>
      <c r="K46" s="592"/>
      <c r="L46" s="592"/>
      <c r="M46" s="592"/>
      <c r="N46" s="593"/>
      <c r="O46" s="594"/>
      <c r="P46" s="594"/>
      <c r="Q46" s="594"/>
      <c r="R46" s="594"/>
      <c r="S46" s="594"/>
      <c r="T46" s="594"/>
      <c r="U46" s="594"/>
      <c r="V46" s="594"/>
      <c r="W46" s="594"/>
      <c r="X46" s="594"/>
      <c r="Y46" s="592"/>
      <c r="Z46" s="592"/>
      <c r="AA46" s="592"/>
      <c r="AB46" s="592"/>
      <c r="AC46" s="592"/>
      <c r="AD46" s="592"/>
      <c r="AE46" s="592"/>
      <c r="AF46" s="592"/>
      <c r="AG46" s="592"/>
      <c r="AH46" s="592"/>
      <c r="AI46" s="595"/>
      <c r="AJ46" s="595"/>
      <c r="AK46" s="596"/>
    </row>
    <row r="47" spans="1:37">
      <c r="B47" s="597"/>
      <c r="C47" s="597"/>
      <c r="D47" s="598"/>
      <c r="E47" s="599"/>
      <c r="F47" s="600"/>
      <c r="G47" s="600"/>
      <c r="H47" s="600"/>
      <c r="I47" s="600"/>
      <c r="J47" s="600"/>
      <c r="K47" s="600"/>
      <c r="L47" s="600"/>
      <c r="M47" s="600"/>
      <c r="N47" s="601"/>
      <c r="O47" s="602"/>
      <c r="P47" s="602"/>
      <c r="Q47" s="602"/>
      <c r="R47" s="602"/>
      <c r="S47" s="602"/>
      <c r="T47" s="602"/>
      <c r="U47" s="602"/>
      <c r="V47" s="602"/>
      <c r="W47" s="602"/>
      <c r="X47" s="602"/>
      <c r="Y47" s="600"/>
      <c r="Z47" s="600"/>
      <c r="AA47" s="600"/>
      <c r="AB47" s="600"/>
      <c r="AC47" s="600"/>
      <c r="AD47" s="600"/>
      <c r="AE47" s="600"/>
      <c r="AF47" s="600"/>
      <c r="AG47" s="600"/>
      <c r="AH47" s="600"/>
      <c r="AI47" s="603"/>
      <c r="AJ47" s="603"/>
      <c r="AK47" s="604"/>
    </row>
    <row r="48" spans="1:37" ht="15.75">
      <c r="B48" s="579"/>
      <c r="C48" s="579"/>
      <c r="Y48" s="585"/>
      <c r="Z48" s="585"/>
      <c r="AA48" s="585"/>
      <c r="AB48" s="585"/>
      <c r="AC48" s="585"/>
    </row>
    <row r="49" spans="1:37">
      <c r="B49" s="579"/>
      <c r="C49" s="579"/>
    </row>
    <row r="50" spans="1:37">
      <c r="B50" s="579"/>
      <c r="C50" s="579"/>
    </row>
    <row r="51" spans="1:37">
      <c r="B51" s="579"/>
      <c r="C51" s="579"/>
    </row>
    <row r="52" spans="1:37" ht="15.75">
      <c r="B52" s="579"/>
      <c r="C52" s="579"/>
      <c r="N52" s="584"/>
      <c r="O52" s="584"/>
      <c r="P52" s="584"/>
      <c r="Q52" s="584"/>
      <c r="R52" s="584"/>
      <c r="S52" s="584"/>
      <c r="T52" s="584"/>
      <c r="U52" s="584"/>
      <c r="V52" s="584"/>
      <c r="W52" s="584"/>
      <c r="X52" s="584"/>
      <c r="Y52" s="766"/>
      <c r="Z52" s="766"/>
      <c r="AA52" s="766"/>
      <c r="AB52" s="766"/>
      <c r="AC52" s="766"/>
      <c r="AD52" s="430"/>
    </row>
    <row r="53" spans="1:37" ht="15.75">
      <c r="B53" s="579"/>
      <c r="C53" s="579"/>
      <c r="N53" s="766"/>
      <c r="O53" s="766"/>
      <c r="P53" s="766"/>
      <c r="Q53" s="766"/>
      <c r="R53" s="766"/>
      <c r="S53" s="766"/>
      <c r="T53" s="766"/>
      <c r="U53" s="766"/>
      <c r="V53" s="766"/>
      <c r="W53" s="766"/>
      <c r="X53" s="766"/>
      <c r="Y53" s="766"/>
      <c r="Z53" s="766"/>
      <c r="AA53" s="766"/>
      <c r="AB53" s="766"/>
      <c r="AC53" s="766"/>
      <c r="AD53" s="430"/>
    </row>
    <row r="54" spans="1:37">
      <c r="B54" s="579"/>
      <c r="C54" s="579"/>
    </row>
    <row r="55" spans="1:37">
      <c r="A55" s="470"/>
      <c r="B55" s="470"/>
      <c r="C55" s="470"/>
      <c r="D55" s="470"/>
      <c r="E55" s="470"/>
      <c r="F55" s="470"/>
      <c r="G55" s="470"/>
      <c r="H55" s="470"/>
      <c r="I55" s="470"/>
      <c r="J55" s="470"/>
      <c r="K55" s="470"/>
      <c r="L55" s="470"/>
      <c r="M55" s="470"/>
      <c r="N55" s="470"/>
      <c r="O55" s="470"/>
      <c r="P55" s="470"/>
      <c r="Q55" s="470"/>
      <c r="R55" s="470"/>
      <c r="S55" s="470"/>
      <c r="T55" s="470"/>
      <c r="U55" s="470"/>
      <c r="V55" s="470"/>
      <c r="W55" s="470"/>
      <c r="X55" s="470"/>
      <c r="Y55" s="470"/>
      <c r="Z55" s="470"/>
      <c r="AA55" s="470"/>
      <c r="AB55" s="470"/>
      <c r="AC55" s="470"/>
      <c r="AD55" s="471"/>
      <c r="AE55" s="472"/>
      <c r="AF55" s="471"/>
      <c r="AG55" s="470"/>
      <c r="AH55" s="470"/>
      <c r="AI55" s="470"/>
      <c r="AJ55" s="470"/>
      <c r="AK55" s="473"/>
    </row>
    <row r="56" spans="1:37" ht="12.75">
      <c r="A56" s="767"/>
      <c r="B56" s="768"/>
      <c r="C56" s="557"/>
      <c r="D56" s="769"/>
      <c r="E56" s="769"/>
      <c r="F56" s="769"/>
      <c r="G56" s="769"/>
      <c r="H56" s="769"/>
      <c r="I56" s="558"/>
      <c r="J56" s="558"/>
      <c r="K56" s="558"/>
      <c r="L56" s="558"/>
      <c r="M56" s="558"/>
      <c r="N56" s="769"/>
      <c r="O56" s="558"/>
      <c r="P56" s="558"/>
      <c r="Q56" s="558"/>
      <c r="R56" s="558"/>
      <c r="S56" s="558"/>
      <c r="T56" s="558"/>
      <c r="U56" s="558"/>
      <c r="V56" s="558"/>
      <c r="W56" s="558"/>
      <c r="X56" s="558"/>
      <c r="Y56" s="764"/>
      <c r="Z56" s="559"/>
      <c r="AA56" s="559"/>
      <c r="AB56" s="559"/>
      <c r="AC56" s="559"/>
      <c r="AD56" s="605"/>
      <c r="AE56" s="606"/>
      <c r="AF56" s="605"/>
      <c r="AG56" s="605"/>
      <c r="AH56" s="605"/>
      <c r="AI56" s="605"/>
      <c r="AJ56" s="547"/>
      <c r="AK56" s="765"/>
    </row>
    <row r="57" spans="1:37" ht="12.75">
      <c r="A57" s="767"/>
      <c r="B57" s="768"/>
      <c r="C57" s="557"/>
      <c r="D57" s="769"/>
      <c r="E57" s="769"/>
      <c r="F57" s="769"/>
      <c r="G57" s="769"/>
      <c r="H57" s="769"/>
      <c r="I57" s="558"/>
      <c r="J57" s="558"/>
      <c r="K57" s="558"/>
      <c r="L57" s="558"/>
      <c r="M57" s="558"/>
      <c r="N57" s="769"/>
      <c r="O57" s="558"/>
      <c r="P57" s="558"/>
      <c r="Q57" s="558"/>
      <c r="R57" s="558"/>
      <c r="S57" s="558"/>
      <c r="T57" s="558"/>
      <c r="U57" s="558"/>
      <c r="V57" s="558"/>
      <c r="W57" s="558"/>
      <c r="X57" s="558"/>
      <c r="Y57" s="764"/>
      <c r="Z57" s="559"/>
      <c r="AA57" s="559"/>
      <c r="AB57" s="559"/>
      <c r="AC57" s="559"/>
      <c r="AD57" s="558"/>
      <c r="AE57" s="560"/>
      <c r="AF57" s="558"/>
      <c r="AG57" s="558"/>
      <c r="AH57" s="558"/>
      <c r="AI57" s="558"/>
      <c r="AJ57" s="561"/>
      <c r="AK57" s="765"/>
    </row>
    <row r="58" spans="1:37">
      <c r="A58" s="547"/>
      <c r="B58" s="607"/>
      <c r="C58" s="607"/>
      <c r="D58" s="608"/>
      <c r="E58" s="608"/>
      <c r="F58" s="608"/>
      <c r="G58" s="608"/>
      <c r="H58" s="608"/>
      <c r="I58" s="608"/>
      <c r="J58" s="608"/>
      <c r="K58" s="608"/>
      <c r="L58" s="608"/>
      <c r="M58" s="608"/>
      <c r="N58" s="608"/>
      <c r="O58" s="608"/>
      <c r="P58" s="608"/>
      <c r="Q58" s="608"/>
      <c r="R58" s="608"/>
      <c r="S58" s="608"/>
      <c r="T58" s="608"/>
      <c r="U58" s="608"/>
      <c r="V58" s="608"/>
      <c r="W58" s="608"/>
      <c r="X58" s="608"/>
      <c r="Y58" s="608"/>
      <c r="Z58" s="608"/>
      <c r="AA58" s="608"/>
      <c r="AB58" s="608"/>
      <c r="AC58" s="608"/>
      <c r="AD58" s="608"/>
      <c r="AE58" s="609"/>
      <c r="AF58" s="608"/>
      <c r="AG58" s="610"/>
      <c r="AH58" s="608"/>
      <c r="AI58" s="608"/>
      <c r="AJ58" s="608"/>
      <c r="AK58" s="611"/>
    </row>
    <row r="59" spans="1:37">
      <c r="A59" s="547"/>
      <c r="B59" s="612"/>
      <c r="C59" s="612"/>
      <c r="D59" s="608"/>
      <c r="E59" s="608"/>
      <c r="F59" s="608"/>
      <c r="G59" s="608"/>
      <c r="H59" s="608"/>
      <c r="I59" s="608"/>
      <c r="J59" s="608"/>
      <c r="K59" s="608"/>
      <c r="L59" s="608"/>
      <c r="M59" s="608"/>
      <c r="N59" s="608"/>
      <c r="O59" s="608"/>
      <c r="P59" s="608"/>
      <c r="Q59" s="608"/>
      <c r="R59" s="608"/>
      <c r="S59" s="608"/>
      <c r="T59" s="608"/>
      <c r="U59" s="608"/>
      <c r="V59" s="608"/>
      <c r="W59" s="608"/>
      <c r="X59" s="608"/>
      <c r="Y59" s="608"/>
      <c r="Z59" s="608"/>
      <c r="AA59" s="608"/>
      <c r="AB59" s="608"/>
      <c r="AC59" s="608"/>
      <c r="AD59" s="608"/>
      <c r="AE59" s="609"/>
      <c r="AF59" s="608"/>
      <c r="AG59" s="608"/>
      <c r="AH59" s="608"/>
      <c r="AI59" s="608"/>
      <c r="AJ59" s="608"/>
      <c r="AK59" s="611"/>
    </row>
  </sheetData>
  <mergeCells count="53">
    <mergeCell ref="Y56:Y57"/>
    <mergeCell ref="AK56:AK57"/>
    <mergeCell ref="Y52:AC52"/>
    <mergeCell ref="N53:AC53"/>
    <mergeCell ref="A56:A57"/>
    <mergeCell ref="B56:B57"/>
    <mergeCell ref="D56:D57"/>
    <mergeCell ref="E56:E57"/>
    <mergeCell ref="F56:F57"/>
    <mergeCell ref="G56:G57"/>
    <mergeCell ref="H56:H57"/>
    <mergeCell ref="N56:N57"/>
    <mergeCell ref="B42:E42"/>
    <mergeCell ref="G42:H42"/>
    <mergeCell ref="G45:M45"/>
    <mergeCell ref="Y45:AC45"/>
    <mergeCell ref="AD45:AJ45"/>
    <mergeCell ref="D30:F30"/>
    <mergeCell ref="G30:M30"/>
    <mergeCell ref="Y30:AF30"/>
    <mergeCell ref="A35:AK35"/>
    <mergeCell ref="N39:U39"/>
    <mergeCell ref="D31:F31"/>
    <mergeCell ref="G31:M31"/>
    <mergeCell ref="Y31:AF31"/>
    <mergeCell ref="N6:N8"/>
    <mergeCell ref="O6:O8"/>
    <mergeCell ref="P6:P8"/>
    <mergeCell ref="Q6:Q8"/>
    <mergeCell ref="S6:AH6"/>
    <mergeCell ref="Y7:Y8"/>
    <mergeCell ref="Z7:Z8"/>
    <mergeCell ref="H6:H8"/>
    <mergeCell ref="I6:I8"/>
    <mergeCell ref="J6:J8"/>
    <mergeCell ref="K6:K8"/>
    <mergeCell ref="L6:L8"/>
    <mergeCell ref="M6:M8"/>
    <mergeCell ref="AA7:AA8"/>
    <mergeCell ref="B26:E26"/>
    <mergeCell ref="A1:AK1"/>
    <mergeCell ref="A2:AK2"/>
    <mergeCell ref="A4:AK4"/>
    <mergeCell ref="A6:A8"/>
    <mergeCell ref="B6:B8"/>
    <mergeCell ref="C6:C8"/>
    <mergeCell ref="D6:D8"/>
    <mergeCell ref="E6:E8"/>
    <mergeCell ref="F6:F8"/>
    <mergeCell ref="G6:G8"/>
    <mergeCell ref="AK6:AK8"/>
    <mergeCell ref="S7:U7"/>
    <mergeCell ref="X7:X8"/>
  </mergeCells>
  <pageMargins left="0.39370078740157499" right="2.5590551E-2" top="0.27559055118110198" bottom="0.35433070866141703" header="0.27559055118110198" footer="0.118110236220472"/>
  <pageSetup paperSize="5" scale="90" orientation="landscape" horizontalDpi="4294967295" verticalDpi="4294967295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00B050"/>
  </sheetPr>
  <dimension ref="A1:AS134"/>
  <sheetViews>
    <sheetView tabSelected="1" view="pageBreakPreview" zoomScale="130" zoomScaleSheetLayoutView="130" workbookViewId="0">
      <selection activeCell="V23" sqref="V23"/>
    </sheetView>
  </sheetViews>
  <sheetFormatPr defaultColWidth="9.140625" defaultRowHeight="23.25" customHeight="1"/>
  <cols>
    <col min="1" max="1" width="1.140625" style="304" customWidth="1"/>
    <col min="2" max="2" width="3.42578125" style="305" customWidth="1"/>
    <col min="3" max="3" width="7.7109375" style="304" customWidth="1"/>
    <col min="4" max="4" width="20.28515625" style="304" customWidth="1"/>
    <col min="5" max="5" width="14.140625" style="304" bestFit="1" customWidth="1"/>
    <col min="6" max="6" width="8.28515625" style="304" customWidth="1"/>
    <col min="7" max="7" width="9.5703125" style="307" customWidth="1"/>
    <col min="8" max="8" width="5.85546875" style="304" customWidth="1"/>
    <col min="9" max="9" width="8.85546875" style="304" customWidth="1"/>
    <col min="10" max="10" width="6.5703125" style="304" customWidth="1"/>
    <col min="11" max="11" width="6" style="304" customWidth="1"/>
    <col min="12" max="12" width="6.42578125" style="304" customWidth="1"/>
    <col min="13" max="13" width="8.85546875" style="304" customWidth="1"/>
    <col min="14" max="14" width="7.42578125" style="304" customWidth="1"/>
    <col min="15" max="15" width="6.85546875" style="304" customWidth="1"/>
    <col min="16" max="16" width="7.28515625" style="304" customWidth="1"/>
    <col min="17" max="17" width="5.5703125" style="304" customWidth="1"/>
    <col min="18" max="18" width="8.28515625" style="304" bestFit="1" customWidth="1"/>
    <col min="19" max="21" width="7.42578125" style="304" bestFit="1" customWidth="1"/>
    <col min="22" max="22" width="8.140625" style="304" customWidth="1"/>
    <col min="23" max="23" width="8.28515625" style="304" customWidth="1"/>
    <col min="24" max="25" width="7.42578125" style="304" bestFit="1" customWidth="1"/>
    <col min="26" max="26" width="6.5703125" style="304" bestFit="1" customWidth="1"/>
    <col min="27" max="27" width="8.28515625" style="304" customWidth="1"/>
    <col min="28" max="28" width="7.42578125" style="304" bestFit="1" customWidth="1"/>
    <col min="29" max="29" width="7.140625" style="304" customWidth="1"/>
    <col min="30" max="30" width="6.7109375" style="304" customWidth="1"/>
    <col min="31" max="31" width="4.85546875" style="304" customWidth="1"/>
    <col min="32" max="32" width="6.5703125" style="304" bestFit="1" customWidth="1"/>
    <col min="33" max="33" width="5.140625" style="304" customWidth="1"/>
    <col min="34" max="34" width="5.7109375" style="304" bestFit="1" customWidth="1"/>
    <col min="35" max="35" width="8.42578125" style="304" customWidth="1"/>
    <col min="36" max="36" width="9.140625" style="307"/>
    <col min="37" max="37" width="3.28515625" style="304" customWidth="1"/>
    <col min="38" max="44" width="9.140625" style="303"/>
    <col min="45" max="16384" width="9.140625" style="304"/>
  </cols>
  <sheetData>
    <row r="1" spans="2:45" ht="23.25" customHeight="1">
      <c r="B1" s="792" t="s">
        <v>21</v>
      </c>
      <c r="C1" s="792"/>
      <c r="D1" s="792"/>
      <c r="E1" s="792"/>
      <c r="F1" s="792"/>
      <c r="G1" s="792"/>
      <c r="H1" s="792"/>
      <c r="I1" s="792"/>
      <c r="J1" s="792"/>
      <c r="K1" s="792"/>
      <c r="L1" s="792"/>
      <c r="M1" s="792"/>
      <c r="N1" s="792"/>
      <c r="O1" s="792"/>
      <c r="P1" s="792"/>
      <c r="Q1" s="792"/>
      <c r="R1" s="792"/>
      <c r="S1" s="792"/>
      <c r="T1" s="792"/>
      <c r="U1" s="792"/>
      <c r="V1" s="792"/>
      <c r="W1" s="792"/>
      <c r="X1" s="792"/>
      <c r="Y1" s="792"/>
      <c r="Z1" s="792"/>
      <c r="AA1" s="792"/>
      <c r="AB1" s="792"/>
      <c r="AC1" s="792"/>
      <c r="AD1" s="792"/>
      <c r="AE1" s="792"/>
      <c r="AF1" s="792"/>
      <c r="AG1" s="792"/>
      <c r="AH1" s="792"/>
      <c r="AI1" s="792"/>
      <c r="AJ1" s="792"/>
      <c r="AK1" s="792"/>
    </row>
    <row r="2" spans="2:45" ht="23.25" customHeight="1">
      <c r="B2" s="792" t="s">
        <v>22</v>
      </c>
      <c r="C2" s="792"/>
      <c r="D2" s="792"/>
      <c r="E2" s="792"/>
      <c r="F2" s="792"/>
      <c r="G2" s="792"/>
      <c r="H2" s="792"/>
      <c r="I2" s="792"/>
      <c r="J2" s="792"/>
      <c r="K2" s="792"/>
      <c r="L2" s="792"/>
      <c r="M2" s="792"/>
      <c r="N2" s="792"/>
      <c r="O2" s="792"/>
      <c r="P2" s="792"/>
      <c r="Q2" s="792"/>
      <c r="R2" s="792"/>
      <c r="S2" s="792"/>
      <c r="T2" s="792"/>
      <c r="U2" s="792"/>
      <c r="V2" s="792"/>
      <c r="W2" s="792"/>
      <c r="X2" s="792"/>
      <c r="Y2" s="792"/>
      <c r="Z2" s="792"/>
      <c r="AA2" s="792"/>
      <c r="AB2" s="792"/>
      <c r="AC2" s="792"/>
      <c r="AD2" s="792"/>
      <c r="AE2" s="792"/>
      <c r="AF2" s="792"/>
      <c r="AG2" s="792"/>
      <c r="AH2" s="792"/>
      <c r="AI2" s="792"/>
      <c r="AJ2" s="792"/>
      <c r="AK2" s="792"/>
    </row>
    <row r="3" spans="2:45" ht="9.75" customHeight="1">
      <c r="B3" s="383"/>
      <c r="C3" s="365"/>
      <c r="D3" s="365"/>
      <c r="E3" s="365" t="s">
        <v>170</v>
      </c>
      <c r="F3" s="365"/>
      <c r="G3" s="366"/>
      <c r="H3" s="365"/>
      <c r="I3" s="365"/>
      <c r="J3" s="365"/>
      <c r="K3" s="365"/>
      <c r="L3" s="365"/>
      <c r="M3" s="365"/>
      <c r="N3" s="365"/>
      <c r="O3" s="365"/>
      <c r="P3" s="365"/>
      <c r="Q3" s="365"/>
      <c r="R3" s="365"/>
      <c r="S3" s="365"/>
      <c r="T3" s="365"/>
      <c r="U3" s="365"/>
      <c r="V3" s="365"/>
      <c r="W3" s="365"/>
      <c r="X3" s="365"/>
      <c r="Y3" s="365"/>
      <c r="Z3" s="365"/>
      <c r="AA3" s="365"/>
      <c r="AB3" s="365"/>
      <c r="AC3" s="365"/>
      <c r="AD3" s="365"/>
      <c r="AE3" s="365"/>
      <c r="AF3" s="365"/>
      <c r="AG3" s="365"/>
      <c r="AH3" s="365"/>
      <c r="AI3" s="365"/>
      <c r="AJ3" s="366"/>
      <c r="AK3" s="365"/>
    </row>
    <row r="4" spans="2:45" ht="23.25" customHeight="1">
      <c r="B4" s="793" t="s">
        <v>23</v>
      </c>
      <c r="C4" s="793"/>
      <c r="D4" s="793"/>
      <c r="E4" s="793"/>
      <c r="F4" s="793"/>
      <c r="G4" s="793"/>
      <c r="H4" s="793"/>
      <c r="I4" s="793"/>
      <c r="J4" s="793"/>
      <c r="K4" s="793"/>
      <c r="L4" s="793"/>
      <c r="M4" s="793"/>
      <c r="N4" s="793"/>
      <c r="O4" s="793"/>
      <c r="P4" s="793"/>
      <c r="Q4" s="793"/>
      <c r="R4" s="793"/>
      <c r="S4" s="793"/>
      <c r="T4" s="793"/>
      <c r="U4" s="794" t="s">
        <v>483</v>
      </c>
      <c r="V4" s="794"/>
      <c r="W4" s="794"/>
      <c r="X4" s="794"/>
      <c r="Y4" s="308"/>
      <c r="Z4" s="308"/>
      <c r="AA4" s="308"/>
      <c r="AB4" s="308"/>
      <c r="AC4" s="308"/>
      <c r="AD4" s="308"/>
      <c r="AE4" s="308"/>
      <c r="AF4" s="308"/>
      <c r="AG4" s="308"/>
      <c r="AH4" s="308"/>
      <c r="AI4" s="308"/>
      <c r="AJ4" s="309"/>
      <c r="AK4" s="310"/>
    </row>
    <row r="5" spans="2:45" ht="16.899999999999999" customHeight="1">
      <c r="B5" s="311"/>
      <c r="C5" s="311"/>
      <c r="D5" s="665" t="s">
        <v>482</v>
      </c>
      <c r="E5" s="311"/>
      <c r="F5" s="311"/>
      <c r="G5" s="312"/>
      <c r="H5" s="311"/>
      <c r="I5" s="311"/>
      <c r="J5" s="311"/>
      <c r="K5" s="311"/>
      <c r="L5" s="311"/>
      <c r="M5" s="311"/>
      <c r="N5" s="311"/>
      <c r="O5" s="311"/>
      <c r="P5" s="311"/>
      <c r="Q5" s="311"/>
      <c r="R5" s="311"/>
      <c r="S5" s="311"/>
      <c r="T5" s="311"/>
      <c r="U5" s="311"/>
      <c r="V5" s="311"/>
      <c r="W5" s="311"/>
      <c r="X5" s="311"/>
      <c r="Y5" s="311"/>
      <c r="Z5" s="311"/>
      <c r="AA5" s="311"/>
      <c r="AB5" s="311"/>
      <c r="AC5" s="311"/>
      <c r="AD5" s="311"/>
      <c r="AE5" s="311"/>
      <c r="AF5" s="311"/>
      <c r="AG5" s="311"/>
      <c r="AH5" s="311"/>
      <c r="AI5" s="313"/>
      <c r="AJ5" s="314"/>
      <c r="AK5" s="315"/>
    </row>
    <row r="6" spans="2:45" s="316" customFormat="1" ht="23.25" customHeight="1">
      <c r="B6" s="775" t="s">
        <v>24</v>
      </c>
      <c r="C6" s="775" t="s">
        <v>86</v>
      </c>
      <c r="D6" s="795" t="s">
        <v>25</v>
      </c>
      <c r="E6" s="798" t="s">
        <v>19</v>
      </c>
      <c r="F6" s="799"/>
      <c r="G6" s="784" t="s">
        <v>26</v>
      </c>
      <c r="H6" s="775" t="s">
        <v>150</v>
      </c>
      <c r="I6" s="775" t="s">
        <v>27</v>
      </c>
      <c r="J6" s="775" t="s">
        <v>28</v>
      </c>
      <c r="K6" s="775" t="s">
        <v>29</v>
      </c>
      <c r="L6" s="775" t="s">
        <v>30</v>
      </c>
      <c r="M6" s="775" t="s">
        <v>31</v>
      </c>
      <c r="N6" s="775" t="s">
        <v>32</v>
      </c>
      <c r="O6" s="775" t="s">
        <v>33</v>
      </c>
      <c r="P6" s="775" t="s">
        <v>34</v>
      </c>
      <c r="Q6" s="775" t="s">
        <v>35</v>
      </c>
      <c r="R6" s="775" t="s">
        <v>36</v>
      </c>
      <c r="S6" s="798" t="s">
        <v>37</v>
      </c>
      <c r="T6" s="804"/>
      <c r="U6" s="799"/>
      <c r="V6" s="775" t="s">
        <v>38</v>
      </c>
      <c r="W6" s="781" t="s">
        <v>2</v>
      </c>
      <c r="X6" s="782"/>
      <c r="Y6" s="782"/>
      <c r="Z6" s="782"/>
      <c r="AA6" s="782"/>
      <c r="AB6" s="782"/>
      <c r="AC6" s="782"/>
      <c r="AD6" s="782"/>
      <c r="AE6" s="782"/>
      <c r="AF6" s="782"/>
      <c r="AG6" s="782"/>
      <c r="AH6" s="783"/>
      <c r="AI6" s="775" t="s">
        <v>0</v>
      </c>
      <c r="AJ6" s="784" t="s">
        <v>39</v>
      </c>
      <c r="AK6" s="348"/>
      <c r="AL6" s="303"/>
      <c r="AM6" s="303"/>
      <c r="AN6" s="303"/>
      <c r="AO6" s="303"/>
      <c r="AP6" s="303"/>
      <c r="AQ6" s="303"/>
    </row>
    <row r="7" spans="2:45" s="316" customFormat="1" ht="11.25" customHeight="1">
      <c r="B7" s="776"/>
      <c r="C7" s="776"/>
      <c r="D7" s="796"/>
      <c r="E7" s="800"/>
      <c r="F7" s="801"/>
      <c r="G7" s="785"/>
      <c r="H7" s="776"/>
      <c r="I7" s="776"/>
      <c r="J7" s="776"/>
      <c r="K7" s="776"/>
      <c r="L7" s="776"/>
      <c r="M7" s="776"/>
      <c r="N7" s="776"/>
      <c r="O7" s="776"/>
      <c r="P7" s="776"/>
      <c r="Q7" s="776"/>
      <c r="R7" s="776"/>
      <c r="S7" s="802"/>
      <c r="T7" s="805"/>
      <c r="U7" s="803"/>
      <c r="V7" s="776"/>
      <c r="W7" s="787" t="s">
        <v>40</v>
      </c>
      <c r="X7" s="789" t="s">
        <v>41</v>
      </c>
      <c r="Y7" s="789"/>
      <c r="Z7" s="789"/>
      <c r="AA7" s="789" t="s">
        <v>42</v>
      </c>
      <c r="AB7" s="789"/>
      <c r="AC7" s="789"/>
      <c r="AD7" s="789" t="s">
        <v>43</v>
      </c>
      <c r="AE7" s="789"/>
      <c r="AF7" s="789"/>
      <c r="AG7" s="789"/>
      <c r="AH7" s="789"/>
      <c r="AI7" s="776"/>
      <c r="AJ7" s="785"/>
      <c r="AK7" s="348"/>
      <c r="AL7" s="303"/>
      <c r="AM7" s="303"/>
      <c r="AN7" s="303"/>
      <c r="AO7" s="303"/>
      <c r="AP7" s="303"/>
      <c r="AQ7" s="303"/>
    </row>
    <row r="8" spans="2:45" s="317" customFormat="1" ht="43.5" customHeight="1">
      <c r="B8" s="777"/>
      <c r="C8" s="777"/>
      <c r="D8" s="797"/>
      <c r="E8" s="802"/>
      <c r="F8" s="803"/>
      <c r="G8" s="786"/>
      <c r="H8" s="777"/>
      <c r="I8" s="777"/>
      <c r="J8" s="777"/>
      <c r="K8" s="777"/>
      <c r="L8" s="777"/>
      <c r="M8" s="777"/>
      <c r="N8" s="777"/>
      <c r="O8" s="777"/>
      <c r="P8" s="777"/>
      <c r="Q8" s="777"/>
      <c r="R8" s="777"/>
      <c r="S8" s="385" t="s">
        <v>44</v>
      </c>
      <c r="T8" s="385" t="s">
        <v>185</v>
      </c>
      <c r="U8" s="385" t="s">
        <v>45</v>
      </c>
      <c r="V8" s="777"/>
      <c r="W8" s="788"/>
      <c r="X8" s="367" t="s">
        <v>46</v>
      </c>
      <c r="Y8" s="367" t="s">
        <v>47</v>
      </c>
      <c r="Z8" s="367" t="s">
        <v>48</v>
      </c>
      <c r="AA8" s="367" t="s">
        <v>49</v>
      </c>
      <c r="AB8" s="367" t="s">
        <v>50</v>
      </c>
      <c r="AC8" s="367" t="s">
        <v>51</v>
      </c>
      <c r="AD8" s="367" t="s">
        <v>52</v>
      </c>
      <c r="AE8" s="367" t="s">
        <v>53</v>
      </c>
      <c r="AF8" s="367" t="s">
        <v>54</v>
      </c>
      <c r="AG8" s="703" t="s">
        <v>495</v>
      </c>
      <c r="AH8" s="367" t="s">
        <v>55</v>
      </c>
      <c r="AI8" s="777"/>
      <c r="AJ8" s="786"/>
      <c r="AK8" s="348"/>
      <c r="AL8" s="303"/>
      <c r="AM8" s="303"/>
      <c r="AN8" s="303"/>
      <c r="AO8" s="303"/>
      <c r="AP8" s="303"/>
      <c r="AQ8" s="303"/>
    </row>
    <row r="9" spans="2:45" s="319" customFormat="1" ht="15" customHeight="1">
      <c r="B9" s="770" t="s">
        <v>56</v>
      </c>
      <c r="C9" s="771"/>
      <c r="D9" s="771"/>
      <c r="E9" s="368"/>
      <c r="F9" s="368"/>
      <c r="G9" s="318"/>
      <c r="H9" s="368"/>
      <c r="I9" s="368"/>
      <c r="J9" s="368"/>
      <c r="K9" s="368"/>
      <c r="L9" s="368"/>
      <c r="M9" s="368"/>
      <c r="N9" s="368"/>
      <c r="O9" s="368"/>
      <c r="P9" s="368"/>
      <c r="Q9" s="368"/>
      <c r="R9" s="368"/>
      <c r="S9" s="368"/>
      <c r="T9" s="368"/>
      <c r="U9" s="368"/>
      <c r="V9" s="368"/>
      <c r="W9" s="368"/>
      <c r="X9" s="383"/>
      <c r="Y9" s="383"/>
      <c r="Z9" s="383"/>
      <c r="AA9" s="383"/>
      <c r="AB9" s="383"/>
      <c r="AC9" s="383"/>
      <c r="AD9" s="383"/>
      <c r="AE9" s="383"/>
      <c r="AF9" s="383"/>
      <c r="AG9" s="383"/>
      <c r="AH9" s="383"/>
      <c r="AI9" s="383"/>
      <c r="AJ9" s="369"/>
      <c r="AK9" s="348"/>
      <c r="AL9" s="303"/>
      <c r="AM9" s="303"/>
      <c r="AN9" s="303"/>
      <c r="AO9" s="303"/>
      <c r="AP9" s="303"/>
      <c r="AQ9" s="303"/>
    </row>
    <row r="10" spans="2:45" s="320" customFormat="1" ht="23.25" customHeight="1">
      <c r="B10" s="384">
        <v>1</v>
      </c>
      <c r="C10" s="384">
        <v>1343</v>
      </c>
      <c r="D10" s="370" t="s">
        <v>463</v>
      </c>
      <c r="E10" s="695" t="s">
        <v>464</v>
      </c>
      <c r="F10" s="698" t="s">
        <v>9</v>
      </c>
      <c r="G10" s="713">
        <v>56030</v>
      </c>
      <c r="H10" s="672">
        <v>0</v>
      </c>
      <c r="I10" s="672">
        <f t="shared" ref="I10:I16" si="0">G10+H10</f>
        <v>56030</v>
      </c>
      <c r="J10" s="382">
        <v>0</v>
      </c>
      <c r="K10" s="382">
        <v>200</v>
      </c>
      <c r="L10" s="382">
        <v>1000</v>
      </c>
      <c r="M10" s="382">
        <f>ROUND(IF(OR(I10*40%&gt;16000),I10*40%,16000),0)</f>
        <v>22412</v>
      </c>
      <c r="N10" s="382">
        <v>1500</v>
      </c>
      <c r="O10" s="382">
        <v>0</v>
      </c>
      <c r="P10" s="382">
        <v>0</v>
      </c>
      <c r="Q10" s="382">
        <v>400</v>
      </c>
      <c r="R10" s="382">
        <f t="shared" ref="R10:R14" si="1">ROUND(I10+J10+K10+L10+M10+N10+O10+P10+Q10,0)</f>
        <v>81542</v>
      </c>
      <c r="S10" s="382">
        <v>0</v>
      </c>
      <c r="T10" s="696">
        <f>ROUND(I10*41%, 0)</f>
        <v>22972</v>
      </c>
      <c r="U10" s="382">
        <v>0</v>
      </c>
      <c r="V10" s="382">
        <f>SUM(R10:U10)</f>
        <v>104514</v>
      </c>
      <c r="W10" s="696">
        <f>T10</f>
        <v>22972</v>
      </c>
      <c r="X10" s="382">
        <v>0</v>
      </c>
      <c r="Y10" s="382">
        <f>ROUND(I10*20%,0)</f>
        <v>11206</v>
      </c>
      <c r="Z10" s="382">
        <v>0</v>
      </c>
      <c r="AA10" s="666">
        <f>M10</f>
        <v>22412</v>
      </c>
      <c r="AB10" s="382">
        <v>6910</v>
      </c>
      <c r="AC10" s="382">
        <v>0</v>
      </c>
      <c r="AD10" s="382">
        <v>250</v>
      </c>
      <c r="AE10" s="382">
        <v>6</v>
      </c>
      <c r="AF10" s="382">
        <v>0</v>
      </c>
      <c r="AG10" s="382">
        <v>25</v>
      </c>
      <c r="AH10" s="382">
        <v>10</v>
      </c>
      <c r="AI10" s="371">
        <f>SUM(W10:AH10)</f>
        <v>63791</v>
      </c>
      <c r="AJ10" s="324">
        <f>V10-AI10</f>
        <v>40723</v>
      </c>
      <c r="AK10" s="348"/>
      <c r="AL10" s="303"/>
      <c r="AM10" s="303"/>
      <c r="AN10" s="303"/>
      <c r="AO10" s="303"/>
      <c r="AP10" s="303"/>
      <c r="AQ10" s="303"/>
    </row>
    <row r="11" spans="2:45" s="321" customFormat="1" ht="23.25" customHeight="1">
      <c r="B11" s="384">
        <f>B10+1</f>
        <v>2</v>
      </c>
      <c r="C11" s="384">
        <v>2303</v>
      </c>
      <c r="D11" s="372" t="s">
        <v>387</v>
      </c>
      <c r="E11" s="384" t="s">
        <v>236</v>
      </c>
      <c r="F11" s="384" t="s">
        <v>58</v>
      </c>
      <c r="G11" s="713">
        <v>45330</v>
      </c>
      <c r="H11" s="672">
        <v>0</v>
      </c>
      <c r="I11" s="672">
        <f t="shared" si="0"/>
        <v>45330</v>
      </c>
      <c r="J11" s="382">
        <v>0</v>
      </c>
      <c r="K11" s="382">
        <v>0</v>
      </c>
      <c r="L11" s="382">
        <v>1000</v>
      </c>
      <c r="M11" s="382">
        <f>ROUND(IF(OR(I11*40%&gt;16000),I11*40%,16000),0)</f>
        <v>18132</v>
      </c>
      <c r="N11" s="382">
        <v>1500</v>
      </c>
      <c r="O11" s="382">
        <v>0</v>
      </c>
      <c r="P11" s="382">
        <v>0</v>
      </c>
      <c r="Q11" s="382">
        <v>0</v>
      </c>
      <c r="R11" s="382">
        <f t="shared" si="1"/>
        <v>65962</v>
      </c>
      <c r="S11" s="382">
        <f>ROUND(I11*10%,0)</f>
        <v>4533</v>
      </c>
      <c r="T11" s="382">
        <v>0</v>
      </c>
      <c r="U11" s="382">
        <f>ROUND(I11*10%,0)</f>
        <v>4533</v>
      </c>
      <c r="V11" s="382">
        <f>SUM(R11:U11)</f>
        <v>75028</v>
      </c>
      <c r="W11" s="382">
        <f>S11</f>
        <v>4533</v>
      </c>
      <c r="X11" s="382">
        <f>ROUND(I11*10%,0)</f>
        <v>4533</v>
      </c>
      <c r="Y11" s="382">
        <f>ROUND(I11*10%,0)</f>
        <v>4533</v>
      </c>
      <c r="Z11" s="382">
        <v>0</v>
      </c>
      <c r="AA11" s="666">
        <f>M11</f>
        <v>18132</v>
      </c>
      <c r="AB11" s="382">
        <v>3025</v>
      </c>
      <c r="AC11" s="382">
        <v>1130</v>
      </c>
      <c r="AD11" s="382">
        <v>250</v>
      </c>
      <c r="AE11" s="382">
        <v>6</v>
      </c>
      <c r="AF11" s="382">
        <v>635</v>
      </c>
      <c r="AG11" s="714">
        <v>25</v>
      </c>
      <c r="AH11" s="382">
        <v>10</v>
      </c>
      <c r="AI11" s="371">
        <f t="shared" ref="AI11" si="2">SUM(W11:AH11)</f>
        <v>36812</v>
      </c>
      <c r="AJ11" s="324">
        <f t="shared" ref="AJ11:AJ16" si="3">V11-AI11</f>
        <v>38216</v>
      </c>
      <c r="AK11" s="348"/>
      <c r="AL11" s="303"/>
      <c r="AM11" s="303"/>
      <c r="AN11" s="303"/>
      <c r="AO11" s="303"/>
      <c r="AP11" s="303"/>
      <c r="AQ11" s="303">
        <v>38241</v>
      </c>
      <c r="AR11" s="321">
        <v>43170</v>
      </c>
      <c r="AS11" s="321">
        <v>36297</v>
      </c>
    </row>
    <row r="12" spans="2:45" s="322" customFormat="1" ht="23.25" customHeight="1">
      <c r="B12" s="384">
        <f t="shared" ref="B12:B16" si="4">B11+1</f>
        <v>3</v>
      </c>
      <c r="C12" s="384">
        <v>2385</v>
      </c>
      <c r="D12" s="373" t="s">
        <v>233</v>
      </c>
      <c r="E12" s="667" t="s">
        <v>236</v>
      </c>
      <c r="F12" s="384" t="s">
        <v>58</v>
      </c>
      <c r="G12" s="713">
        <v>43170</v>
      </c>
      <c r="H12" s="672">
        <v>0</v>
      </c>
      <c r="I12" s="672">
        <f>G12+H12</f>
        <v>43170</v>
      </c>
      <c r="J12" s="382">
        <v>0</v>
      </c>
      <c r="K12" s="382">
        <v>0</v>
      </c>
      <c r="L12" s="382">
        <v>500</v>
      </c>
      <c r="M12" s="382">
        <f>ROUND(IF(OR(I12*40%&gt;16000),I12*40%,16000),0)</f>
        <v>17268</v>
      </c>
      <c r="N12" s="382">
        <v>1500</v>
      </c>
      <c r="O12" s="382">
        <v>0</v>
      </c>
      <c r="P12" s="382">
        <v>0</v>
      </c>
      <c r="Q12" s="382">
        <v>0</v>
      </c>
      <c r="R12" s="382">
        <f>ROUND(I12+J12+K12+L12+M12+N12+O12+P12+Q12,0)</f>
        <v>62438</v>
      </c>
      <c r="S12" s="382">
        <f>ROUND(I12*10%,0)</f>
        <v>4317</v>
      </c>
      <c r="T12" s="382">
        <v>0</v>
      </c>
      <c r="U12" s="382">
        <f>ROUND(I12*10%,0)</f>
        <v>4317</v>
      </c>
      <c r="V12" s="382">
        <f t="shared" ref="V12:V16" si="5">SUM(R12:U12)</f>
        <v>71072</v>
      </c>
      <c r="W12" s="382">
        <f>S12</f>
        <v>4317</v>
      </c>
      <c r="X12" s="382">
        <f>ROUND(I12*10%,0)</f>
        <v>4317</v>
      </c>
      <c r="Y12" s="382">
        <f>ROUND(I12*10%,0)</f>
        <v>4317</v>
      </c>
      <c r="Z12" s="382">
        <v>0</v>
      </c>
      <c r="AA12" s="382">
        <v>0</v>
      </c>
      <c r="AB12" s="382">
        <v>3200</v>
      </c>
      <c r="AC12" s="382">
        <v>0</v>
      </c>
      <c r="AD12" s="382">
        <v>250</v>
      </c>
      <c r="AE12" s="382">
        <v>6</v>
      </c>
      <c r="AF12" s="382">
        <v>640</v>
      </c>
      <c r="AG12" s="714">
        <v>25</v>
      </c>
      <c r="AH12" s="382">
        <v>10</v>
      </c>
      <c r="AI12" s="371">
        <f>SUM(W12:AH12)</f>
        <v>17082</v>
      </c>
      <c r="AJ12" s="324">
        <f t="shared" si="3"/>
        <v>53990</v>
      </c>
      <c r="AK12" s="348"/>
      <c r="AL12" s="303"/>
      <c r="AM12" s="303"/>
      <c r="AN12" s="303"/>
      <c r="AO12" s="303"/>
      <c r="AP12" s="303"/>
      <c r="AQ12" s="702">
        <f>AQ11-AS11</f>
        <v>1944</v>
      </c>
      <c r="AR12" s="322">
        <v>45330</v>
      </c>
    </row>
    <row r="13" spans="2:45" s="322" customFormat="1" ht="23.25" customHeight="1">
      <c r="B13" s="700">
        <f t="shared" si="4"/>
        <v>4</v>
      </c>
      <c r="C13" s="700">
        <v>1968</v>
      </c>
      <c r="D13" s="372" t="s">
        <v>436</v>
      </c>
      <c r="E13" s="700" t="s">
        <v>7</v>
      </c>
      <c r="F13" s="700" t="s">
        <v>9</v>
      </c>
      <c r="G13" s="713">
        <v>43170</v>
      </c>
      <c r="H13" s="672">
        <v>0</v>
      </c>
      <c r="I13" s="672">
        <f t="shared" si="0"/>
        <v>43170</v>
      </c>
      <c r="J13" s="699">
        <v>0</v>
      </c>
      <c r="K13" s="699">
        <v>0</v>
      </c>
      <c r="L13" s="699">
        <v>1000</v>
      </c>
      <c r="M13" s="699">
        <f>ROUND(IF(OR(I13*40%&gt;16000),I13*40%,16000),0)</f>
        <v>17268</v>
      </c>
      <c r="N13" s="699">
        <v>1500</v>
      </c>
      <c r="O13" s="699">
        <v>0</v>
      </c>
      <c r="P13" s="699">
        <v>0</v>
      </c>
      <c r="Q13" s="699">
        <v>0</v>
      </c>
      <c r="R13" s="699">
        <f t="shared" si="1"/>
        <v>62938</v>
      </c>
      <c r="S13" s="699">
        <v>0</v>
      </c>
      <c r="T13" s="699">
        <f>ROUND(I13*41%, 0)</f>
        <v>17700</v>
      </c>
      <c r="U13" s="699">
        <v>0</v>
      </c>
      <c r="V13" s="699">
        <f t="shared" si="5"/>
        <v>80638</v>
      </c>
      <c r="W13" s="699">
        <f>T13</f>
        <v>17700</v>
      </c>
      <c r="X13" s="699">
        <v>0</v>
      </c>
      <c r="Y13" s="699">
        <f>ROUND(I13*20%,0)</f>
        <v>8634</v>
      </c>
      <c r="Z13" s="699">
        <v>0</v>
      </c>
      <c r="AA13" s="699">
        <f>M13+8000</f>
        <v>25268</v>
      </c>
      <c r="AB13" s="699">
        <v>3200</v>
      </c>
      <c r="AC13" s="699">
        <v>1600</v>
      </c>
      <c r="AD13" s="699">
        <v>250</v>
      </c>
      <c r="AE13" s="699">
        <v>0</v>
      </c>
      <c r="AF13" s="699">
        <v>500</v>
      </c>
      <c r="AG13" s="714">
        <v>25</v>
      </c>
      <c r="AH13" s="699">
        <v>10</v>
      </c>
      <c r="AI13" s="371">
        <f>SUM(W13:AH13)</f>
        <v>57187</v>
      </c>
      <c r="AJ13" s="324">
        <f>V13-AI13</f>
        <v>23451</v>
      </c>
      <c r="AK13" s="348"/>
      <c r="AL13" s="303"/>
      <c r="AM13" s="303"/>
      <c r="AN13" s="303"/>
      <c r="AO13" s="303"/>
      <c r="AP13" s="303"/>
      <c r="AQ13" s="303"/>
      <c r="AR13" s="322">
        <f>AR12-AR11</f>
        <v>2160</v>
      </c>
      <c r="AS13" s="322">
        <f>AR13*10%</f>
        <v>216</v>
      </c>
    </row>
    <row r="14" spans="2:45" s="322" customFormat="1" ht="23.25" customHeight="1">
      <c r="B14" s="384">
        <f t="shared" si="4"/>
        <v>5</v>
      </c>
      <c r="C14" s="384">
        <v>2645</v>
      </c>
      <c r="D14" s="373" t="s">
        <v>182</v>
      </c>
      <c r="E14" s="384" t="s">
        <v>179</v>
      </c>
      <c r="F14" s="384" t="s">
        <v>58</v>
      </c>
      <c r="G14" s="713">
        <v>25480</v>
      </c>
      <c r="H14" s="672">
        <v>0</v>
      </c>
      <c r="I14" s="672">
        <f t="shared" si="0"/>
        <v>25480</v>
      </c>
      <c r="J14" s="382">
        <v>0</v>
      </c>
      <c r="K14" s="382">
        <v>0</v>
      </c>
      <c r="L14" s="382">
        <v>0</v>
      </c>
      <c r="M14" s="382">
        <f t="shared" ref="M14" si="6">ROUND(IF(OR(I14*45%&gt;8000),I14*45%,8000),0)</f>
        <v>11466</v>
      </c>
      <c r="N14" s="382">
        <v>1500</v>
      </c>
      <c r="O14" s="382">
        <v>0</v>
      </c>
      <c r="P14" s="382">
        <v>0</v>
      </c>
      <c r="Q14" s="382">
        <v>0</v>
      </c>
      <c r="R14" s="382">
        <f t="shared" si="1"/>
        <v>38446</v>
      </c>
      <c r="S14" s="382">
        <f t="shared" ref="S14" si="7">ROUND(I14*10%,0)</f>
        <v>2548</v>
      </c>
      <c r="T14" s="382">
        <v>0</v>
      </c>
      <c r="U14" s="382">
        <f t="shared" ref="U14:U16" si="8">ROUND(I14*10%,0)</f>
        <v>2548</v>
      </c>
      <c r="V14" s="382">
        <f t="shared" si="5"/>
        <v>43542</v>
      </c>
      <c r="W14" s="382">
        <f t="shared" ref="W14" si="9">S14</f>
        <v>2548</v>
      </c>
      <c r="X14" s="382">
        <f t="shared" ref="X14" si="10">ROUND(I14*10%,0)</f>
        <v>2548</v>
      </c>
      <c r="Y14" s="382">
        <f t="shared" ref="Y14" si="11">ROUND(I14*10%,0)</f>
        <v>2548</v>
      </c>
      <c r="Z14" s="382">
        <v>0</v>
      </c>
      <c r="AA14" s="382">
        <v>0</v>
      </c>
      <c r="AB14" s="382">
        <v>0</v>
      </c>
      <c r="AC14" s="382">
        <v>0</v>
      </c>
      <c r="AD14" s="382">
        <f t="shared" ref="AD14" si="12">ROUND(IF(I14*1%&gt;200,200,I14*1%),0)</f>
        <v>200</v>
      </c>
      <c r="AE14" s="382">
        <v>0</v>
      </c>
      <c r="AF14" s="614">
        <v>250</v>
      </c>
      <c r="AG14" s="714">
        <v>25</v>
      </c>
      <c r="AH14" s="382">
        <v>10</v>
      </c>
      <c r="AI14" s="371">
        <f t="shared" ref="AI14:AI16" si="13">SUM(W14:AH14)</f>
        <v>8129</v>
      </c>
      <c r="AJ14" s="324">
        <f t="shared" si="3"/>
        <v>35413</v>
      </c>
      <c r="AK14" s="348"/>
      <c r="AL14" s="303"/>
      <c r="AM14" s="303"/>
      <c r="AN14" s="303"/>
      <c r="AO14" s="303"/>
      <c r="AP14" s="303"/>
      <c r="AQ14" s="303"/>
      <c r="AR14" s="322">
        <f>AR13-AS13</f>
        <v>1944</v>
      </c>
    </row>
    <row r="15" spans="2:45" s="322" customFormat="1" ht="23.25" customHeight="1">
      <c r="B15" s="707">
        <f t="shared" si="4"/>
        <v>6</v>
      </c>
      <c r="C15" s="707">
        <v>1811</v>
      </c>
      <c r="D15" s="708" t="s">
        <v>468</v>
      </c>
      <c r="E15" s="707" t="s">
        <v>179</v>
      </c>
      <c r="F15" s="707" t="s">
        <v>9</v>
      </c>
      <c r="G15" s="673">
        <v>23100</v>
      </c>
      <c r="H15" s="672">
        <v>0</v>
      </c>
      <c r="I15" s="672">
        <f>G15+H15</f>
        <v>23100</v>
      </c>
      <c r="J15" s="706">
        <v>0</v>
      </c>
      <c r="K15" s="706">
        <v>0</v>
      </c>
      <c r="L15" s="706">
        <v>0</v>
      </c>
      <c r="M15" s="706">
        <f>ROUND(IF(OR(I15*45%&gt;8000),I15*45%,8000),0)</f>
        <v>10395</v>
      </c>
      <c r="N15" s="706">
        <v>1500</v>
      </c>
      <c r="O15" s="706">
        <v>0</v>
      </c>
      <c r="P15" s="706">
        <v>0</v>
      </c>
      <c r="Q15" s="706">
        <v>0</v>
      </c>
      <c r="R15" s="706">
        <f>ROUND(I15+J15+K15+L15+M15+N15+O15+P15+Q15,0)</f>
        <v>34995</v>
      </c>
      <c r="S15" s="706"/>
      <c r="T15" s="706">
        <f>ROUND(I15*41%, 0)</f>
        <v>9471</v>
      </c>
      <c r="U15" s="706"/>
      <c r="V15" s="706">
        <f>SUM(R15:U15)</f>
        <v>44466</v>
      </c>
      <c r="W15" s="706">
        <f>T15</f>
        <v>9471</v>
      </c>
      <c r="X15" s="706">
        <v>0</v>
      </c>
      <c r="Y15" s="706">
        <f>ROUND(I15*25%,0)</f>
        <v>5775</v>
      </c>
      <c r="Z15" s="706">
        <v>0</v>
      </c>
      <c r="AA15" s="706">
        <f>M15</f>
        <v>10395</v>
      </c>
      <c r="AB15" s="706">
        <v>3144</v>
      </c>
      <c r="AC15" s="706">
        <v>1100</v>
      </c>
      <c r="AD15" s="706">
        <v>200</v>
      </c>
      <c r="AE15" s="706">
        <v>0</v>
      </c>
      <c r="AF15" s="706">
        <v>250</v>
      </c>
      <c r="AG15" s="714">
        <v>25</v>
      </c>
      <c r="AH15" s="706">
        <v>10</v>
      </c>
      <c r="AI15" s="371">
        <f t="shared" si="13"/>
        <v>30370</v>
      </c>
      <c r="AJ15" s="324">
        <f>V15-AI15</f>
        <v>14096</v>
      </c>
      <c r="AK15" s="348"/>
      <c r="AL15" s="303"/>
      <c r="AM15" s="303"/>
      <c r="AN15" s="303"/>
      <c r="AO15" s="303"/>
      <c r="AP15" s="303"/>
      <c r="AQ15" s="303"/>
    </row>
    <row r="16" spans="2:45" s="322" customFormat="1" ht="23.25" customHeight="1">
      <c r="B16" s="384">
        <f t="shared" si="4"/>
        <v>7</v>
      </c>
      <c r="C16" s="613">
        <v>2698</v>
      </c>
      <c r="D16" s="372" t="s">
        <v>235</v>
      </c>
      <c r="E16" s="384" t="str">
        <f>E15</f>
        <v>SO</v>
      </c>
      <c r="F16" s="384" t="s">
        <v>58</v>
      </c>
      <c r="G16" s="673">
        <v>23100</v>
      </c>
      <c r="H16" s="672"/>
      <c r="I16" s="672">
        <f t="shared" si="0"/>
        <v>23100</v>
      </c>
      <c r="J16" s="382"/>
      <c r="K16" s="382"/>
      <c r="L16" s="382"/>
      <c r="M16" s="382">
        <f>ROUND(I16*0.45,0)</f>
        <v>10395</v>
      </c>
      <c r="N16" s="382">
        <v>1500</v>
      </c>
      <c r="O16" s="382"/>
      <c r="P16" s="382"/>
      <c r="Q16" s="382"/>
      <c r="R16" s="382">
        <f>ROUND(I16+J16+K16+L16+M16+N16+O16+P16+Q16,0)</f>
        <v>34995</v>
      </c>
      <c r="S16" s="382">
        <f>ROUND(I16*10%,0)</f>
        <v>2310</v>
      </c>
      <c r="T16" s="382"/>
      <c r="U16" s="382">
        <f t="shared" si="8"/>
        <v>2310</v>
      </c>
      <c r="V16" s="382">
        <f t="shared" si="5"/>
        <v>39615</v>
      </c>
      <c r="W16" s="382">
        <f>S16</f>
        <v>2310</v>
      </c>
      <c r="X16" s="382">
        <f t="shared" ref="X16" si="14">ROUND(I16*10%,0)</f>
        <v>2310</v>
      </c>
      <c r="Y16" s="382">
        <f t="shared" ref="Y16" si="15">ROUND(I16*10%,0)</f>
        <v>2310</v>
      </c>
      <c r="Z16" s="382">
        <v>0</v>
      </c>
      <c r="AA16" s="382">
        <v>0</v>
      </c>
      <c r="AB16" s="382">
        <v>0</v>
      </c>
      <c r="AC16" s="382">
        <v>0</v>
      </c>
      <c r="AD16" s="382">
        <v>200</v>
      </c>
      <c r="AE16" s="382">
        <v>0</v>
      </c>
      <c r="AF16" s="614">
        <v>0</v>
      </c>
      <c r="AG16" s="714">
        <v>25</v>
      </c>
      <c r="AH16" s="382">
        <v>10</v>
      </c>
      <c r="AI16" s="371">
        <f t="shared" si="13"/>
        <v>7165</v>
      </c>
      <c r="AJ16" s="324">
        <f t="shared" si="3"/>
        <v>32450</v>
      </c>
      <c r="AK16" s="348"/>
      <c r="AL16" s="303"/>
      <c r="AM16" s="303"/>
      <c r="AN16" s="303"/>
      <c r="AO16" s="303"/>
      <c r="AP16" s="303"/>
      <c r="AQ16" s="303"/>
    </row>
    <row r="17" spans="1:44" s="322" customFormat="1" ht="23.25" customHeight="1">
      <c r="B17" s="384"/>
      <c r="C17" s="384"/>
      <c r="D17" s="372"/>
      <c r="E17" s="384"/>
      <c r="F17" s="384"/>
      <c r="G17" s="673"/>
      <c r="H17" s="672"/>
      <c r="I17" s="672"/>
      <c r="J17" s="382"/>
      <c r="K17" s="382"/>
      <c r="L17" s="382"/>
      <c r="M17" s="382"/>
      <c r="N17" s="382"/>
      <c r="O17" s="382"/>
      <c r="P17" s="382"/>
      <c r="Q17" s="382"/>
      <c r="R17" s="382"/>
      <c r="S17" s="382"/>
      <c r="T17" s="382"/>
      <c r="U17" s="382"/>
      <c r="V17" s="382"/>
      <c r="W17" s="382"/>
      <c r="X17" s="382"/>
      <c r="Y17" s="382"/>
      <c r="Z17" s="382"/>
      <c r="AA17" s="382"/>
      <c r="AB17" s="382"/>
      <c r="AC17" s="382"/>
      <c r="AD17" s="382"/>
      <c r="AE17" s="382"/>
      <c r="AF17" s="614"/>
      <c r="AG17" s="382"/>
      <c r="AH17" s="382"/>
      <c r="AI17" s="371"/>
      <c r="AJ17" s="324"/>
      <c r="AK17" s="348"/>
      <c r="AL17" s="303"/>
      <c r="AM17" s="303"/>
      <c r="AN17" s="303"/>
      <c r="AO17" s="303"/>
      <c r="AP17" s="303"/>
      <c r="AQ17" s="303"/>
    </row>
    <row r="18" spans="1:44" s="323" customFormat="1" ht="23.25" customHeight="1">
      <c r="B18" s="382"/>
      <c r="C18" s="382"/>
      <c r="D18" s="382" t="s">
        <v>60</v>
      </c>
      <c r="E18" s="384"/>
      <c r="F18" s="384"/>
      <c r="G18" s="704">
        <f>SUM(G10:G17)</f>
        <v>259380</v>
      </c>
      <c r="H18" s="704">
        <f t="shared" ref="H18:P18" si="16">SUM(H10:H17)</f>
        <v>0</v>
      </c>
      <c r="I18" s="704">
        <f t="shared" si="16"/>
        <v>259380</v>
      </c>
      <c r="J18" s="704">
        <f t="shared" si="16"/>
        <v>0</v>
      </c>
      <c r="K18" s="704">
        <f t="shared" si="16"/>
        <v>200</v>
      </c>
      <c r="L18" s="704">
        <f t="shared" si="16"/>
        <v>3500</v>
      </c>
      <c r="M18" s="704">
        <f t="shared" si="16"/>
        <v>107336</v>
      </c>
      <c r="N18" s="704">
        <f t="shared" si="16"/>
        <v>10500</v>
      </c>
      <c r="O18" s="704">
        <f t="shared" si="16"/>
        <v>0</v>
      </c>
      <c r="P18" s="704">
        <f t="shared" si="16"/>
        <v>0</v>
      </c>
      <c r="Q18" s="704">
        <f t="shared" ref="Q18" si="17">SUM(Q10:Q17)</f>
        <v>400</v>
      </c>
      <c r="R18" s="704">
        <f t="shared" ref="R18" si="18">SUM(R10:R17)</f>
        <v>381316</v>
      </c>
      <c r="S18" s="704">
        <f t="shared" ref="S18" si="19">SUM(S10:S17)</f>
        <v>13708</v>
      </c>
      <c r="T18" s="704">
        <f t="shared" ref="T18" si="20">SUM(T10:T17)</f>
        <v>50143</v>
      </c>
      <c r="U18" s="704">
        <f t="shared" ref="U18" si="21">SUM(U10:U17)</f>
        <v>13708</v>
      </c>
      <c r="V18" s="704">
        <f t="shared" ref="V18" si="22">SUM(V10:V17)</f>
        <v>458875</v>
      </c>
      <c r="W18" s="704">
        <f t="shared" ref="W18" si="23">SUM(W10:W17)</f>
        <v>63851</v>
      </c>
      <c r="X18" s="704">
        <f t="shared" ref="X18:Y18" si="24">SUM(X10:X17)</f>
        <v>13708</v>
      </c>
      <c r="Y18" s="704">
        <f t="shared" si="24"/>
        <v>39323</v>
      </c>
      <c r="Z18" s="704">
        <f t="shared" ref="Z18" si="25">SUM(Z10:Z17)</f>
        <v>0</v>
      </c>
      <c r="AA18" s="704">
        <f t="shared" ref="AA18" si="26">SUM(AA10:AA17)</f>
        <v>76207</v>
      </c>
      <c r="AB18" s="704">
        <f t="shared" ref="AB18" si="27">SUM(AB10:AB17)</f>
        <v>19479</v>
      </c>
      <c r="AC18" s="704">
        <f t="shared" ref="AC18" si="28">SUM(AC10:AC17)</f>
        <v>3830</v>
      </c>
      <c r="AD18" s="704">
        <f t="shared" ref="AD18" si="29">SUM(AD10:AD17)</f>
        <v>1600</v>
      </c>
      <c r="AE18" s="704">
        <f t="shared" ref="AE18" si="30">SUM(AE10:AE17)</f>
        <v>18</v>
      </c>
      <c r="AF18" s="704">
        <f t="shared" ref="AF18" si="31">SUM(AF10:AF17)</f>
        <v>2275</v>
      </c>
      <c r="AG18" s="705">
        <f t="shared" ref="AG18:AH18" si="32">SUM(AG10:AG17)</f>
        <v>175</v>
      </c>
      <c r="AH18" s="704">
        <f t="shared" si="32"/>
        <v>70</v>
      </c>
      <c r="AI18" s="704">
        <f t="shared" ref="AI18" si="33">SUM(AI10:AI17)</f>
        <v>220536</v>
      </c>
      <c r="AJ18" s="704">
        <f t="shared" ref="AJ18" si="34">SUM(AJ10:AJ17)</f>
        <v>238339</v>
      </c>
      <c r="AK18" s="348"/>
      <c r="AL18" s="303"/>
      <c r="AM18" s="303"/>
      <c r="AN18" s="303"/>
      <c r="AO18" s="303"/>
      <c r="AP18" s="303"/>
      <c r="AQ18" s="303"/>
    </row>
    <row r="19" spans="1:44" s="323" customFormat="1" ht="12.75" customHeight="1">
      <c r="B19" s="772" t="s">
        <v>151</v>
      </c>
      <c r="C19" s="773"/>
      <c r="D19" s="773"/>
      <c r="E19" s="384"/>
      <c r="F19" s="384"/>
      <c r="G19" s="674"/>
      <c r="H19" s="672"/>
      <c r="I19" s="672"/>
      <c r="J19" s="382"/>
      <c r="K19" s="382"/>
      <c r="L19" s="382"/>
      <c r="M19" s="382"/>
      <c r="N19" s="382"/>
      <c r="O19" s="382"/>
      <c r="P19" s="382"/>
      <c r="Q19" s="382"/>
      <c r="R19" s="382"/>
      <c r="S19" s="382"/>
      <c r="T19" s="382"/>
      <c r="U19" s="382"/>
      <c r="V19" s="382"/>
      <c r="W19" s="328"/>
      <c r="X19" s="328"/>
      <c r="Y19" s="328"/>
      <c r="Z19" s="328"/>
      <c r="AA19" s="328"/>
      <c r="AB19" s="328"/>
      <c r="AC19" s="328"/>
      <c r="AD19" s="328"/>
      <c r="AE19" s="328"/>
      <c r="AF19" s="328"/>
      <c r="AG19" s="328"/>
      <c r="AH19" s="328"/>
      <c r="AI19" s="382"/>
      <c r="AJ19" s="329"/>
      <c r="AK19" s="348"/>
      <c r="AL19" s="303"/>
      <c r="AM19" s="303"/>
      <c r="AN19" s="303"/>
      <c r="AO19" s="303"/>
      <c r="AP19" s="303"/>
      <c r="AQ19" s="303"/>
    </row>
    <row r="20" spans="1:44" s="322" customFormat="1" ht="23.25" customHeight="1">
      <c r="B20" s="384">
        <v>1</v>
      </c>
      <c r="C20" s="384">
        <v>1952</v>
      </c>
      <c r="D20" s="372" t="s">
        <v>61</v>
      </c>
      <c r="E20" s="375" t="s">
        <v>62</v>
      </c>
      <c r="F20" s="384" t="s">
        <v>9</v>
      </c>
      <c r="G20" s="673">
        <v>20290</v>
      </c>
      <c r="H20" s="672">
        <v>0</v>
      </c>
      <c r="I20" s="672">
        <f>G20+H20</f>
        <v>20290</v>
      </c>
      <c r="J20" s="382">
        <v>0</v>
      </c>
      <c r="K20" s="382">
        <v>0</v>
      </c>
      <c r="L20" s="382">
        <v>0</v>
      </c>
      <c r="M20" s="382">
        <f>ROUND(IF(OR(I20*45%&gt;8000),I20*45%,8000),0)</f>
        <v>9131</v>
      </c>
      <c r="N20" s="382">
        <v>1500</v>
      </c>
      <c r="O20" s="382">
        <v>300</v>
      </c>
      <c r="P20" s="382">
        <v>100</v>
      </c>
      <c r="Q20" s="382">
        <v>0</v>
      </c>
      <c r="R20" s="382">
        <f>ROUND(I20+J20+K20+L20+M20+N20+O20+P20+Q20,0)</f>
        <v>31321</v>
      </c>
      <c r="S20" s="382">
        <v>0</v>
      </c>
      <c r="T20" s="382">
        <f>ROUND(I20*41%, 0)</f>
        <v>8319</v>
      </c>
      <c r="U20" s="382">
        <v>0</v>
      </c>
      <c r="V20" s="382">
        <f>ROUND(R20+T20+S20,0)</f>
        <v>39640</v>
      </c>
      <c r="W20" s="382">
        <f>T20</f>
        <v>8319</v>
      </c>
      <c r="X20" s="382">
        <v>0</v>
      </c>
      <c r="Y20" s="382">
        <f>ROUND(I20*20%,0)</f>
        <v>4058</v>
      </c>
      <c r="Z20" s="382">
        <v>0</v>
      </c>
      <c r="AA20" s="382">
        <v>11960</v>
      </c>
      <c r="AB20" s="382">
        <v>3144</v>
      </c>
      <c r="AC20" s="382">
        <v>1100</v>
      </c>
      <c r="AD20" s="382">
        <v>100</v>
      </c>
      <c r="AE20" s="382">
        <v>0</v>
      </c>
      <c r="AF20" s="382">
        <v>0</v>
      </c>
      <c r="AG20" s="382">
        <v>20</v>
      </c>
      <c r="AH20" s="382">
        <v>10</v>
      </c>
      <c r="AI20" s="371">
        <f>SUM(W20:AH20)</f>
        <v>28711</v>
      </c>
      <c r="AJ20" s="324">
        <f>V20-AI20</f>
        <v>10929</v>
      </c>
      <c r="AK20" s="348"/>
      <c r="AL20" s="340">
        <f>V20</f>
        <v>39640</v>
      </c>
      <c r="AM20" s="303"/>
      <c r="AN20" s="303"/>
      <c r="AO20" s="303"/>
      <c r="AP20" s="303"/>
      <c r="AQ20" s="303"/>
    </row>
    <row r="21" spans="1:44" s="322" customFormat="1" ht="23.25" customHeight="1">
      <c r="B21" s="384">
        <f>B20+1</f>
        <v>2</v>
      </c>
      <c r="C21" s="384">
        <v>1863</v>
      </c>
      <c r="D21" s="372" t="s">
        <v>63</v>
      </c>
      <c r="E21" s="375" t="s">
        <v>64</v>
      </c>
      <c r="F21" s="384" t="s">
        <v>9</v>
      </c>
      <c r="G21" s="673">
        <v>20280</v>
      </c>
      <c r="H21" s="672">
        <v>0</v>
      </c>
      <c r="I21" s="672">
        <f>G21+H21</f>
        <v>20280</v>
      </c>
      <c r="J21" s="382">
        <v>0</v>
      </c>
      <c r="K21" s="382">
        <v>0</v>
      </c>
      <c r="L21" s="382">
        <v>500</v>
      </c>
      <c r="M21" s="382">
        <f t="shared" ref="M21:M23" si="35">ROUND(IF(OR(I21*45%&gt;8000),I21*45%,8000),0)</f>
        <v>9126</v>
      </c>
      <c r="N21" s="382">
        <v>1500</v>
      </c>
      <c r="O21" s="382">
        <v>300</v>
      </c>
      <c r="P21" s="382">
        <v>100</v>
      </c>
      <c r="Q21" s="382">
        <v>0</v>
      </c>
      <c r="R21" s="382">
        <f t="shared" ref="R21:R23" si="36">ROUND(I21+J21+K21+L21+M21+N21+O21+P21+Q21,0)</f>
        <v>31806</v>
      </c>
      <c r="S21" s="382">
        <v>0</v>
      </c>
      <c r="T21" s="382">
        <f t="shared" ref="T21:T23" si="37">ROUND(I21*41%, 0)</f>
        <v>8315</v>
      </c>
      <c r="U21" s="382">
        <v>0</v>
      </c>
      <c r="V21" s="382">
        <f t="shared" ref="V21:V23" si="38">ROUND(R21+T21+S21,0)</f>
        <v>40121</v>
      </c>
      <c r="W21" s="382">
        <f t="shared" ref="W21:W23" si="39">T21</f>
        <v>8315</v>
      </c>
      <c r="X21" s="382">
        <v>0</v>
      </c>
      <c r="Y21" s="382">
        <f>ROUND(I21*10%,0)</f>
        <v>2028</v>
      </c>
      <c r="Z21" s="382">
        <v>3000</v>
      </c>
      <c r="AA21" s="382">
        <v>2400</v>
      </c>
      <c r="AB21" s="382">
        <v>3144</v>
      </c>
      <c r="AC21" s="382">
        <v>0</v>
      </c>
      <c r="AD21" s="382">
        <v>100</v>
      </c>
      <c r="AE21" s="382">
        <v>0</v>
      </c>
      <c r="AF21" s="382">
        <v>0</v>
      </c>
      <c r="AG21" s="714">
        <v>20</v>
      </c>
      <c r="AH21" s="382">
        <v>10</v>
      </c>
      <c r="AI21" s="371">
        <f>SUM(W21:AH21)</f>
        <v>19017</v>
      </c>
      <c r="AJ21" s="324">
        <f t="shared" ref="AJ21:AJ23" si="40">V21-AI21</f>
        <v>21104</v>
      </c>
      <c r="AK21" s="348"/>
      <c r="AL21" s="340">
        <f>AL20-AI20</f>
        <v>10929</v>
      </c>
      <c r="AM21" s="303"/>
      <c r="AN21" s="303"/>
      <c r="AO21" s="303"/>
      <c r="AP21" s="303"/>
      <c r="AQ21" s="303"/>
    </row>
    <row r="22" spans="1:44" s="716" customFormat="1" ht="23.25" customHeight="1">
      <c r="B22" s="717">
        <f t="shared" ref="B22" si="41">B21+1</f>
        <v>3</v>
      </c>
      <c r="C22" s="717">
        <v>1911</v>
      </c>
      <c r="D22" s="718" t="s">
        <v>494</v>
      </c>
      <c r="E22" s="719" t="s">
        <v>64</v>
      </c>
      <c r="F22" s="717" t="s">
        <v>9</v>
      </c>
      <c r="G22" s="720">
        <v>20280</v>
      </c>
      <c r="H22" s="721">
        <v>0</v>
      </c>
      <c r="I22" s="721">
        <f t="shared" ref="I22:I23" si="42">G22+H22</f>
        <v>20280</v>
      </c>
      <c r="J22" s="722">
        <v>0</v>
      </c>
      <c r="K22" s="722">
        <v>0</v>
      </c>
      <c r="L22" s="723">
        <v>1000</v>
      </c>
      <c r="M22" s="722">
        <f t="shared" si="35"/>
        <v>9126</v>
      </c>
      <c r="N22" s="722">
        <v>1500</v>
      </c>
      <c r="O22" s="722">
        <v>300</v>
      </c>
      <c r="P22" s="722">
        <v>100</v>
      </c>
      <c r="Q22" s="722">
        <v>0</v>
      </c>
      <c r="R22" s="722">
        <f t="shared" si="36"/>
        <v>32306</v>
      </c>
      <c r="S22" s="722">
        <v>0</v>
      </c>
      <c r="T22" s="722">
        <f t="shared" si="37"/>
        <v>8315</v>
      </c>
      <c r="U22" s="722">
        <v>0</v>
      </c>
      <c r="V22" s="722">
        <f t="shared" si="38"/>
        <v>40621</v>
      </c>
      <c r="W22" s="722">
        <f>T22</f>
        <v>8315</v>
      </c>
      <c r="X22" s="722">
        <v>0</v>
      </c>
      <c r="Y22" s="722">
        <f>ROUND(I22*15%,0)</f>
        <v>3042</v>
      </c>
      <c r="Z22" s="722">
        <v>0</v>
      </c>
      <c r="AA22" s="722">
        <f>M22</f>
        <v>9126</v>
      </c>
      <c r="AB22" s="722">
        <v>3025</v>
      </c>
      <c r="AC22" s="722">
        <v>0</v>
      </c>
      <c r="AD22" s="722">
        <v>100</v>
      </c>
      <c r="AE22" s="722">
        <v>0</v>
      </c>
      <c r="AF22" s="722">
        <v>0</v>
      </c>
      <c r="AG22" s="714">
        <v>20</v>
      </c>
      <c r="AH22" s="722">
        <v>10</v>
      </c>
      <c r="AI22" s="724">
        <f t="shared" ref="AI22" si="43">SUM(W22:AH22)</f>
        <v>23638</v>
      </c>
      <c r="AJ22" s="725">
        <f t="shared" si="40"/>
        <v>16983</v>
      </c>
      <c r="AK22" s="726"/>
      <c r="AL22" s="727"/>
      <c r="AM22" s="727"/>
      <c r="AN22" s="727"/>
      <c r="AO22" s="727"/>
      <c r="AP22" s="727"/>
      <c r="AQ22" s="727"/>
    </row>
    <row r="23" spans="1:44" s="321" customFormat="1" ht="23.25" customHeight="1">
      <c r="B23" s="384">
        <f>B22+1</f>
        <v>4</v>
      </c>
      <c r="C23" s="384">
        <v>1895</v>
      </c>
      <c r="D23" s="373" t="s">
        <v>241</v>
      </c>
      <c r="E23" s="375" t="s">
        <v>64</v>
      </c>
      <c r="F23" s="384" t="s">
        <v>9</v>
      </c>
      <c r="G23" s="673">
        <v>18480</v>
      </c>
      <c r="H23" s="672"/>
      <c r="I23" s="672">
        <f t="shared" si="42"/>
        <v>18480</v>
      </c>
      <c r="J23" s="382">
        <v>0</v>
      </c>
      <c r="K23" s="382">
        <v>0</v>
      </c>
      <c r="L23" s="376">
        <v>0</v>
      </c>
      <c r="M23" s="382">
        <f t="shared" si="35"/>
        <v>8316</v>
      </c>
      <c r="N23" s="382">
        <v>1500</v>
      </c>
      <c r="O23" s="382">
        <v>300</v>
      </c>
      <c r="P23" s="382">
        <v>100</v>
      </c>
      <c r="Q23" s="382">
        <v>0</v>
      </c>
      <c r="R23" s="382">
        <f t="shared" si="36"/>
        <v>28696</v>
      </c>
      <c r="S23" s="382"/>
      <c r="T23" s="382">
        <f t="shared" si="37"/>
        <v>7577</v>
      </c>
      <c r="U23" s="382"/>
      <c r="V23" s="382">
        <f t="shared" si="38"/>
        <v>36273</v>
      </c>
      <c r="W23" s="382">
        <f t="shared" si="39"/>
        <v>7577</v>
      </c>
      <c r="X23" s="382"/>
      <c r="Y23" s="382">
        <f>ROUND(I23*8%,0)</f>
        <v>1478</v>
      </c>
      <c r="Z23" s="382"/>
      <c r="AA23" s="382">
        <f>M23</f>
        <v>8316</v>
      </c>
      <c r="AB23" s="382">
        <v>3144</v>
      </c>
      <c r="AC23" s="382">
        <v>1100</v>
      </c>
      <c r="AD23" s="382">
        <v>100</v>
      </c>
      <c r="AE23" s="382">
        <v>0</v>
      </c>
      <c r="AF23" s="382">
        <v>0</v>
      </c>
      <c r="AG23" s="714">
        <v>20</v>
      </c>
      <c r="AH23" s="382">
        <v>10</v>
      </c>
      <c r="AI23" s="371">
        <f>SUM(W23:AH23)</f>
        <v>21745</v>
      </c>
      <c r="AJ23" s="324">
        <f t="shared" si="40"/>
        <v>14528</v>
      </c>
      <c r="AK23" s="348"/>
      <c r="AL23" s="303"/>
      <c r="AM23" s="303"/>
      <c r="AN23" s="303"/>
      <c r="AO23" s="303"/>
      <c r="AP23" s="303"/>
      <c r="AQ23" s="303"/>
    </row>
    <row r="24" spans="1:44" s="322" customFormat="1" ht="23.25" customHeight="1">
      <c r="B24" s="384"/>
      <c r="C24" s="384"/>
      <c r="D24" s="382" t="s">
        <v>66</v>
      </c>
      <c r="E24" s="382"/>
      <c r="F24" s="382"/>
      <c r="G24" s="675">
        <f>SUM(G20:G23)</f>
        <v>79330</v>
      </c>
      <c r="H24" s="675">
        <f t="shared" ref="H24:P24" si="44">SUM(H20:H23)</f>
        <v>0</v>
      </c>
      <c r="I24" s="675">
        <f t="shared" si="44"/>
        <v>79330</v>
      </c>
      <c r="J24" s="675">
        <f t="shared" si="44"/>
        <v>0</v>
      </c>
      <c r="K24" s="675">
        <f t="shared" si="44"/>
        <v>0</v>
      </c>
      <c r="L24" s="675">
        <f t="shared" si="44"/>
        <v>1500</v>
      </c>
      <c r="M24" s="675">
        <f t="shared" si="44"/>
        <v>35699</v>
      </c>
      <c r="N24" s="675">
        <f t="shared" si="44"/>
        <v>6000</v>
      </c>
      <c r="O24" s="675">
        <f t="shared" si="44"/>
        <v>1200</v>
      </c>
      <c r="P24" s="675">
        <f t="shared" si="44"/>
        <v>400</v>
      </c>
      <c r="Q24" s="675">
        <f t="shared" ref="Q24" si="45">SUM(Q20:Q23)</f>
        <v>0</v>
      </c>
      <c r="R24" s="675">
        <f t="shared" ref="R24" si="46">SUM(R20:R23)</f>
        <v>124129</v>
      </c>
      <c r="S24" s="675">
        <f t="shared" ref="S24" si="47">SUM(S20:S23)</f>
        <v>0</v>
      </c>
      <c r="T24" s="675">
        <f t="shared" ref="T24" si="48">SUM(T20:T23)</f>
        <v>32526</v>
      </c>
      <c r="U24" s="675">
        <f t="shared" ref="U24" si="49">SUM(U20:U23)</f>
        <v>0</v>
      </c>
      <c r="V24" s="675">
        <f t="shared" ref="V24" si="50">SUM(V20:V23)</f>
        <v>156655</v>
      </c>
      <c r="W24" s="675">
        <f t="shared" ref="W24" si="51">SUM(W20:W23)</f>
        <v>32526</v>
      </c>
      <c r="X24" s="675">
        <f t="shared" ref="X24:Y24" si="52">SUM(X20:X23)</f>
        <v>0</v>
      </c>
      <c r="Y24" s="675">
        <f t="shared" si="52"/>
        <v>10606</v>
      </c>
      <c r="Z24" s="675">
        <f t="shared" ref="Z24" si="53">SUM(Z20:Z23)</f>
        <v>3000</v>
      </c>
      <c r="AA24" s="675">
        <f t="shared" ref="AA24" si="54">SUM(AA20:AA23)</f>
        <v>31802</v>
      </c>
      <c r="AB24" s="675">
        <f t="shared" ref="AB24" si="55">SUM(AB20:AB23)</f>
        <v>12457</v>
      </c>
      <c r="AC24" s="675">
        <f t="shared" ref="AC24" si="56">SUM(AC20:AC23)</f>
        <v>2200</v>
      </c>
      <c r="AD24" s="675">
        <f t="shared" ref="AD24" si="57">SUM(AD20:AD23)</f>
        <v>400</v>
      </c>
      <c r="AE24" s="675">
        <f t="shared" ref="AE24" si="58">SUM(AE20:AE23)</f>
        <v>0</v>
      </c>
      <c r="AF24" s="675">
        <f t="shared" ref="AF24" si="59">SUM(AF20:AF23)</f>
        <v>0</v>
      </c>
      <c r="AG24" s="675">
        <f t="shared" ref="AG24" si="60">SUM(AG20:AG23)</f>
        <v>80</v>
      </c>
      <c r="AH24" s="675">
        <f>SUM(AH20:AH23)</f>
        <v>40</v>
      </c>
      <c r="AI24" s="675">
        <f>SUM(AI20:AI23)</f>
        <v>93111</v>
      </c>
      <c r="AJ24" s="675">
        <f t="shared" ref="AJ24" si="61">SUM(AJ20:AJ23)</f>
        <v>63544</v>
      </c>
      <c r="AK24" s="348"/>
      <c r="AL24" s="303"/>
      <c r="AM24" s="303"/>
      <c r="AN24" s="303"/>
      <c r="AO24" s="303"/>
      <c r="AP24" s="303"/>
      <c r="AQ24" s="303"/>
    </row>
    <row r="25" spans="1:44" s="327" customFormat="1" ht="23.25" customHeight="1">
      <c r="B25" s="774" t="s">
        <v>155</v>
      </c>
      <c r="C25" s="774"/>
      <c r="D25" s="774"/>
      <c r="E25" s="382"/>
      <c r="F25" s="382"/>
      <c r="G25" s="324">
        <f>G24+G18</f>
        <v>338710</v>
      </c>
      <c r="H25" s="324">
        <f t="shared" ref="H25:Q25" si="62">H24+H18</f>
        <v>0</v>
      </c>
      <c r="I25" s="324">
        <f t="shared" si="62"/>
        <v>338710</v>
      </c>
      <c r="J25" s="324">
        <f t="shared" si="62"/>
        <v>0</v>
      </c>
      <c r="K25" s="324">
        <f t="shared" si="62"/>
        <v>200</v>
      </c>
      <c r="L25" s="324">
        <f t="shared" si="62"/>
        <v>5000</v>
      </c>
      <c r="M25" s="324">
        <f t="shared" si="62"/>
        <v>143035</v>
      </c>
      <c r="N25" s="324">
        <f t="shared" si="62"/>
        <v>16500</v>
      </c>
      <c r="O25" s="324">
        <f t="shared" si="62"/>
        <v>1200</v>
      </c>
      <c r="P25" s="324">
        <f t="shared" si="62"/>
        <v>400</v>
      </c>
      <c r="Q25" s="324">
        <f t="shared" si="62"/>
        <v>400</v>
      </c>
      <c r="R25" s="324">
        <f>R24+R18</f>
        <v>505445</v>
      </c>
      <c r="S25" s="324">
        <f t="shared" ref="S25" si="63">S24+S18</f>
        <v>13708</v>
      </c>
      <c r="T25" s="324">
        <f t="shared" ref="T25" si="64">T24+T18</f>
        <v>82669</v>
      </c>
      <c r="U25" s="324">
        <f t="shared" ref="U25" si="65">U24+U18</f>
        <v>13708</v>
      </c>
      <c r="V25" s="324">
        <f t="shared" ref="V25" si="66">V24+V18</f>
        <v>615530</v>
      </c>
      <c r="W25" s="324">
        <f t="shared" ref="W25" si="67">W24+W18</f>
        <v>96377</v>
      </c>
      <c r="X25" s="324">
        <f t="shared" ref="X25" si="68">X24+X18</f>
        <v>13708</v>
      </c>
      <c r="Y25" s="324">
        <f t="shared" ref="Y25" si="69">Y24+Y18</f>
        <v>49929</v>
      </c>
      <c r="Z25" s="324">
        <f t="shared" ref="Z25:AA25" si="70">Z24+Z18</f>
        <v>3000</v>
      </c>
      <c r="AA25" s="324">
        <f t="shared" si="70"/>
        <v>108009</v>
      </c>
      <c r="AB25" s="324">
        <f t="shared" ref="AB25" si="71">AB24+AB18</f>
        <v>31936</v>
      </c>
      <c r="AC25" s="324">
        <f t="shared" ref="AC25" si="72">AC24+AC18</f>
        <v>6030</v>
      </c>
      <c r="AD25" s="324">
        <f t="shared" ref="AD25" si="73">AD24+AD18</f>
        <v>2000</v>
      </c>
      <c r="AE25" s="324">
        <f t="shared" ref="AE25" si="74">AE24+AE18</f>
        <v>18</v>
      </c>
      <c r="AF25" s="324">
        <f t="shared" ref="AF25" si="75">AF24+AF18</f>
        <v>2275</v>
      </c>
      <c r="AG25" s="704">
        <f>AG24+AG18</f>
        <v>255</v>
      </c>
      <c r="AH25" s="324">
        <f>AH24+AH18</f>
        <v>110</v>
      </c>
      <c r="AI25" s="324">
        <f>AI24+AI18</f>
        <v>313647</v>
      </c>
      <c r="AJ25" s="324">
        <f t="shared" ref="AJ25" si="76">AJ24+AJ18</f>
        <v>301883</v>
      </c>
      <c r="AK25" s="348"/>
      <c r="AL25" s="702"/>
      <c r="AM25" s="303"/>
      <c r="AN25" s="303"/>
      <c r="AO25" s="303"/>
      <c r="AP25" s="303"/>
      <c r="AQ25" s="303"/>
    </row>
    <row r="26" spans="1:44" s="327" customFormat="1" ht="23.25" customHeight="1">
      <c r="B26" s="328"/>
      <c r="C26" s="328"/>
      <c r="D26" s="328"/>
      <c r="E26" s="328"/>
      <c r="F26" s="328"/>
      <c r="G26" s="329"/>
      <c r="H26" s="328"/>
      <c r="I26" s="328"/>
      <c r="J26" s="328"/>
      <c r="K26" s="328"/>
      <c r="L26" s="328"/>
      <c r="M26" s="328"/>
      <c r="N26" s="328"/>
      <c r="O26" s="328"/>
      <c r="P26" s="328"/>
      <c r="Q26" s="328"/>
      <c r="R26" s="328"/>
      <c r="S26" s="328"/>
      <c r="T26" s="328"/>
      <c r="U26" s="328"/>
      <c r="V26" s="328"/>
      <c r="W26" s="330"/>
      <c r="X26" s="330"/>
      <c r="Y26" s="330"/>
      <c r="Z26" s="330"/>
      <c r="AA26" s="330"/>
      <c r="AB26" s="330"/>
      <c r="AC26" s="330"/>
      <c r="AD26" s="330"/>
      <c r="AE26" s="330"/>
      <c r="AF26" s="330"/>
      <c r="AG26" s="330"/>
      <c r="AH26" s="306"/>
      <c r="AI26" s="306"/>
      <c r="AJ26" s="307">
        <f>AJ25+AI25</f>
        <v>615530</v>
      </c>
      <c r="AK26" s="306"/>
      <c r="AL26" s="303"/>
      <c r="AM26" s="303"/>
      <c r="AN26" s="303"/>
      <c r="AO26" s="303"/>
      <c r="AP26" s="303"/>
      <c r="AQ26" s="303"/>
      <c r="AR26" s="303"/>
    </row>
    <row r="27" spans="1:44" ht="23.25" customHeight="1">
      <c r="B27" s="304"/>
      <c r="C27" s="331"/>
      <c r="D27" s="332" t="s">
        <v>67</v>
      </c>
      <c r="E27" s="380">
        <f>V25</f>
        <v>615530</v>
      </c>
      <c r="F27" s="333"/>
      <c r="G27" s="334"/>
      <c r="H27" s="331"/>
      <c r="I27" s="331"/>
      <c r="J27" s="331"/>
      <c r="K27" s="331"/>
      <c r="L27" s="331"/>
      <c r="M27" s="331"/>
      <c r="N27" s="331"/>
      <c r="O27" s="331"/>
      <c r="P27" s="331"/>
      <c r="Q27" s="331"/>
      <c r="R27" s="331"/>
      <c r="S27" s="331"/>
      <c r="T27" s="331"/>
      <c r="U27" s="331"/>
      <c r="V27" s="331"/>
      <c r="W27" s="306"/>
      <c r="X27" s="306"/>
      <c r="Y27" s="306"/>
      <c r="Z27" s="306"/>
      <c r="AA27" s="306"/>
      <c r="AB27" s="306"/>
      <c r="AC27" s="306"/>
      <c r="AD27" s="306"/>
      <c r="AE27" s="306"/>
      <c r="AF27" s="306"/>
      <c r="AG27" s="306"/>
      <c r="AI27" s="307">
        <f>AJ25+AA25-AA22+AB25-AB22+AC25</f>
        <v>435707</v>
      </c>
    </row>
    <row r="28" spans="1:44" s="322" customFormat="1" ht="38.450000000000003" customHeight="1">
      <c r="B28" s="335"/>
      <c r="C28" s="335"/>
      <c r="D28" s="710"/>
      <c r="E28" s="711"/>
      <c r="F28" s="790"/>
      <c r="G28" s="790"/>
      <c r="H28" s="790"/>
      <c r="I28" s="790"/>
      <c r="J28" s="790"/>
      <c r="K28" s="790"/>
      <c r="L28" s="790"/>
      <c r="M28" s="790"/>
      <c r="N28" s="790"/>
      <c r="O28" s="790"/>
      <c r="P28" s="790"/>
      <c r="Q28" s="790"/>
      <c r="R28" s="790"/>
      <c r="S28" s="326"/>
      <c r="T28" s="326"/>
      <c r="U28" s="326"/>
      <c r="V28" s="326"/>
      <c r="W28" s="337"/>
      <c r="X28" s="337"/>
      <c r="Y28" s="337"/>
      <c r="Z28" s="337"/>
      <c r="AA28" s="337"/>
      <c r="AB28" s="337"/>
      <c r="AC28" s="337"/>
      <c r="AD28" s="337"/>
      <c r="AE28" s="337"/>
      <c r="AF28" s="337"/>
      <c r="AG28" s="337"/>
      <c r="AH28" s="337"/>
      <c r="AI28" s="337"/>
      <c r="AK28" s="337"/>
      <c r="AL28" s="303"/>
      <c r="AM28" s="303"/>
      <c r="AN28" s="303"/>
      <c r="AO28" s="303"/>
      <c r="AP28" s="303"/>
      <c r="AQ28" s="303"/>
      <c r="AR28" s="303"/>
    </row>
    <row r="29" spans="1:44" ht="23.25" customHeight="1">
      <c r="B29" s="338"/>
      <c r="H29" s="339"/>
      <c r="I29" s="340"/>
      <c r="J29" s="341" t="s">
        <v>6</v>
      </c>
      <c r="K29" s="341"/>
      <c r="L29" s="306"/>
      <c r="M29" s="306"/>
      <c r="N29" s="341"/>
      <c r="O29" s="341"/>
      <c r="P29" s="341"/>
      <c r="Q29" s="341"/>
      <c r="R29" s="341"/>
      <c r="S29" s="341"/>
      <c r="T29" s="341"/>
      <c r="U29" s="341"/>
      <c r="V29" s="341"/>
      <c r="W29" s="306"/>
      <c r="X29" s="306"/>
      <c r="Y29" s="306"/>
      <c r="Z29" s="306"/>
      <c r="AA29" s="306"/>
      <c r="AB29" s="306"/>
      <c r="AC29" s="306"/>
      <c r="AD29" s="306"/>
      <c r="AE29" s="306"/>
      <c r="AF29" s="306"/>
      <c r="AG29" s="306"/>
      <c r="AH29" s="306"/>
      <c r="AI29" s="306"/>
      <c r="AK29" s="306"/>
    </row>
    <row r="30" spans="1:44" ht="23.25" customHeight="1">
      <c r="B30" s="338"/>
      <c r="H30" s="339"/>
      <c r="I30" s="340"/>
      <c r="J30" s="341"/>
      <c r="K30" s="341"/>
      <c r="L30" s="306"/>
      <c r="M30" s="306"/>
      <c r="N30" s="341"/>
      <c r="O30" s="341"/>
      <c r="P30" s="341"/>
      <c r="Q30" s="341"/>
      <c r="R30" s="341"/>
      <c r="S30" s="341"/>
      <c r="T30" s="341"/>
      <c r="U30" s="341"/>
      <c r="V30" s="341"/>
      <c r="W30" s="306"/>
      <c r="X30" s="306"/>
      <c r="Y30" s="306"/>
      <c r="Z30" s="306"/>
      <c r="AA30" s="306"/>
      <c r="AB30" s="306"/>
      <c r="AC30" s="306"/>
      <c r="AD30" s="306"/>
      <c r="AE30" s="306"/>
      <c r="AF30" s="306"/>
      <c r="AG30" s="306"/>
      <c r="AH30" s="306"/>
      <c r="AI30" s="306"/>
      <c r="AK30" s="306"/>
    </row>
    <row r="31" spans="1:44" ht="33.6" customHeight="1">
      <c r="B31" s="338"/>
      <c r="I31" s="778" t="s">
        <v>466</v>
      </c>
      <c r="J31" s="778"/>
      <c r="K31" s="778"/>
      <c r="L31" s="778"/>
      <c r="M31" s="340"/>
      <c r="N31" s="791" t="s">
        <v>484</v>
      </c>
      <c r="O31" s="791"/>
      <c r="P31" s="791"/>
      <c r="Q31" s="791"/>
      <c r="R31" s="791"/>
      <c r="S31" s="791"/>
      <c r="T31" s="779" t="s">
        <v>461</v>
      </c>
      <c r="U31" s="779"/>
      <c r="V31" s="779"/>
      <c r="W31" s="779"/>
      <c r="X31" s="306"/>
      <c r="Y31" s="306"/>
      <c r="Z31" s="306"/>
      <c r="AA31" s="306"/>
      <c r="AB31" s="306"/>
      <c r="AC31" s="306"/>
      <c r="AD31" s="306"/>
      <c r="AE31" s="306"/>
      <c r="AF31" s="306"/>
      <c r="AG31" s="306"/>
      <c r="AH31" s="306"/>
      <c r="AI31" s="306"/>
      <c r="AK31" s="306"/>
    </row>
    <row r="32" spans="1:44" ht="23.25" customHeight="1">
      <c r="A32" s="342"/>
      <c r="B32" s="343"/>
      <c r="C32" s="344"/>
      <c r="D32" s="344"/>
      <c r="E32" s="344"/>
      <c r="F32" s="344"/>
      <c r="G32" s="345"/>
      <c r="H32" s="344"/>
      <c r="M32" s="306"/>
      <c r="O32" s="344"/>
      <c r="P32" s="344"/>
      <c r="R32" s="344"/>
      <c r="T32" s="344"/>
      <c r="U32" s="344"/>
      <c r="W32" s="355"/>
      <c r="X32" s="344"/>
      <c r="Y32" s="344"/>
      <c r="Z32" s="344"/>
      <c r="AA32" s="344"/>
      <c r="AB32" s="344"/>
      <c r="AC32" s="344"/>
      <c r="AE32" s="344"/>
      <c r="AF32" s="780"/>
      <c r="AG32" s="780"/>
      <c r="AH32" s="780"/>
      <c r="AI32" s="780"/>
      <c r="AJ32" s="780"/>
      <c r="AK32" s="344"/>
    </row>
    <row r="33" spans="1:44" s="346" customFormat="1" ht="23.25" customHeight="1">
      <c r="A33" s="304"/>
      <c r="B33" s="329"/>
      <c r="C33" s="329"/>
      <c r="D33" s="329"/>
      <c r="E33" s="329"/>
      <c r="F33" s="329"/>
      <c r="G33" s="329"/>
      <c r="H33" s="329"/>
      <c r="I33" s="328"/>
      <c r="J33" s="328"/>
      <c r="K33" s="328"/>
      <c r="L33" s="328"/>
      <c r="M33" s="328"/>
      <c r="N33" s="328"/>
      <c r="O33" s="328"/>
      <c r="P33" s="328"/>
      <c r="Q33" s="328"/>
      <c r="R33" s="328"/>
      <c r="S33" s="328"/>
      <c r="T33" s="328"/>
      <c r="U33" s="328"/>
      <c r="V33" s="328"/>
      <c r="W33" s="304"/>
      <c r="X33" s="304"/>
      <c r="Y33" s="304"/>
      <c r="Z33" s="304"/>
      <c r="AA33" s="304"/>
      <c r="AB33" s="304"/>
      <c r="AC33" s="304"/>
      <c r="AD33" s="304"/>
      <c r="AE33" s="304"/>
      <c r="AF33" s="304"/>
      <c r="AG33" s="304"/>
      <c r="AH33" s="304"/>
      <c r="AI33" s="304"/>
      <c r="AJ33" s="307"/>
      <c r="AL33" s="303"/>
      <c r="AM33" s="303"/>
      <c r="AN33" s="303"/>
      <c r="AO33" s="303"/>
      <c r="AP33" s="303"/>
      <c r="AQ33" s="303"/>
      <c r="AR33" s="303"/>
    </row>
    <row r="34" spans="1:44" s="346" customFormat="1" ht="23.25" customHeight="1">
      <c r="A34" s="304"/>
      <c r="B34" s="329"/>
      <c r="C34" s="329"/>
      <c r="D34" s="329">
        <v>34531</v>
      </c>
      <c r="E34" s="329"/>
      <c r="F34" s="329"/>
      <c r="G34" s="329"/>
      <c r="H34" s="329"/>
      <c r="I34" s="328"/>
      <c r="J34" s="328"/>
      <c r="K34" s="328"/>
      <c r="L34" s="328"/>
      <c r="M34" s="328"/>
      <c r="N34" s="328"/>
      <c r="O34" s="328"/>
      <c r="P34" s="328"/>
      <c r="Q34" s="328"/>
      <c r="R34" s="328"/>
      <c r="S34" s="328"/>
      <c r="T34" s="328"/>
      <c r="U34" s="328"/>
      <c r="V34" s="328"/>
      <c r="W34" s="304"/>
      <c r="X34" s="304"/>
      <c r="Y34" s="304"/>
      <c r="Z34" s="304"/>
      <c r="AA34" s="304"/>
      <c r="AB34" s="304"/>
      <c r="AC34" s="304"/>
      <c r="AD34" s="304"/>
      <c r="AE34" s="304"/>
      <c r="AF34" s="304"/>
      <c r="AG34" s="304"/>
      <c r="AH34" s="304"/>
      <c r="AI34" s="304"/>
      <c r="AJ34" s="307"/>
      <c r="AL34" s="303"/>
      <c r="AM34" s="303"/>
      <c r="AN34" s="303"/>
      <c r="AO34" s="303"/>
      <c r="AP34" s="303"/>
      <c r="AQ34" s="303"/>
      <c r="AR34" s="303"/>
    </row>
    <row r="35" spans="1:44" s="346" customFormat="1" ht="23.25" customHeight="1">
      <c r="A35" s="304"/>
      <c r="B35" s="329"/>
      <c r="C35" s="329"/>
      <c r="D35" s="329">
        <v>33400</v>
      </c>
      <c r="E35" s="329">
        <v>14389</v>
      </c>
      <c r="F35" s="329"/>
      <c r="G35" s="329"/>
      <c r="H35" s="329"/>
      <c r="I35" s="709" t="s">
        <v>478</v>
      </c>
      <c r="J35" s="709"/>
      <c r="K35" s="709"/>
      <c r="L35" s="709"/>
      <c r="M35" s="709"/>
      <c r="N35" s="709"/>
      <c r="O35" s="328"/>
      <c r="P35" s="328"/>
      <c r="Q35" s="328"/>
      <c r="R35" s="328"/>
      <c r="S35" s="328"/>
      <c r="T35" s="328"/>
      <c r="U35" s="328"/>
      <c r="V35" s="328"/>
      <c r="W35" s="304"/>
      <c r="X35" s="304"/>
      <c r="Y35" s="304"/>
      <c r="Z35" s="304"/>
      <c r="AA35" s="304"/>
      <c r="AB35" s="304"/>
      <c r="AC35" s="304"/>
      <c r="AD35" s="304"/>
      <c r="AE35" s="304"/>
      <c r="AF35" s="304"/>
      <c r="AG35" s="304"/>
      <c r="AH35" s="304"/>
      <c r="AI35" s="304"/>
      <c r="AJ35" s="307"/>
      <c r="AL35" s="303"/>
      <c r="AM35" s="303"/>
      <c r="AN35" s="303"/>
      <c r="AO35" s="303"/>
      <c r="AP35" s="303"/>
      <c r="AQ35" s="303"/>
      <c r="AR35" s="303"/>
    </row>
    <row r="36" spans="1:44" s="346" customFormat="1" ht="23.25" customHeight="1">
      <c r="A36" s="304"/>
      <c r="B36" s="329"/>
      <c r="C36" s="329"/>
      <c r="D36" s="329">
        <f>D34-D35</f>
        <v>1131</v>
      </c>
      <c r="E36" s="329">
        <f>M13-E35</f>
        <v>2879</v>
      </c>
      <c r="F36" s="329"/>
      <c r="G36" s="329"/>
      <c r="H36" s="329"/>
      <c r="I36" s="709">
        <v>31200</v>
      </c>
      <c r="J36" s="709">
        <f>I36*55%</f>
        <v>17160</v>
      </c>
      <c r="K36" s="709">
        <v>1500</v>
      </c>
      <c r="L36" s="709">
        <v>1000</v>
      </c>
      <c r="M36" s="709">
        <f>SUM(I36:L36)</f>
        <v>50860</v>
      </c>
      <c r="N36" s="709">
        <f>M36-I37-J37</f>
        <v>41740</v>
      </c>
      <c r="O36" s="328"/>
      <c r="P36" s="328"/>
      <c r="Q36" s="328"/>
      <c r="R36" s="328"/>
      <c r="S36" s="328"/>
      <c r="T36" s="328"/>
      <c r="U36" s="328"/>
      <c r="V36" s="328"/>
      <c r="W36" s="304"/>
      <c r="X36" s="304"/>
      <c r="Y36" s="304"/>
      <c r="Z36" s="304"/>
      <c r="AA36" s="304"/>
      <c r="AB36" s="304"/>
      <c r="AC36" s="304"/>
      <c r="AD36" s="304"/>
      <c r="AE36" s="304"/>
      <c r="AF36" s="304"/>
      <c r="AG36" s="304"/>
      <c r="AH36" s="304"/>
      <c r="AI36" s="304"/>
      <c r="AJ36" s="307"/>
      <c r="AL36" s="303"/>
      <c r="AM36" s="303"/>
      <c r="AN36" s="303"/>
      <c r="AO36" s="303"/>
      <c r="AP36" s="303"/>
      <c r="AQ36" s="303"/>
      <c r="AR36" s="303"/>
    </row>
    <row r="37" spans="1:44" s="346" customFormat="1" ht="23.25" customHeight="1">
      <c r="A37" s="304"/>
      <c r="B37" s="329"/>
      <c r="C37" s="329"/>
      <c r="D37" s="324">
        <v>780</v>
      </c>
      <c r="E37" s="324">
        <f>D37*45%</f>
        <v>351</v>
      </c>
      <c r="F37" s="324">
        <f>SUM(D37:E37)</f>
        <v>1131</v>
      </c>
      <c r="G37" s="329">
        <f>F37*3</f>
        <v>3393</v>
      </c>
      <c r="H37" s="329"/>
      <c r="I37" s="709">
        <f>I36*25%</f>
        <v>7800</v>
      </c>
      <c r="J37" s="709">
        <v>1320</v>
      </c>
      <c r="K37" s="709"/>
      <c r="L37" s="709"/>
      <c r="M37" s="709"/>
      <c r="N37" s="709"/>
      <c r="O37" s="709">
        <v>10000</v>
      </c>
      <c r="P37" s="709">
        <v>5000</v>
      </c>
      <c r="Q37" s="709">
        <v>5000</v>
      </c>
      <c r="R37" s="709">
        <v>10000</v>
      </c>
      <c r="S37" s="328"/>
      <c r="T37" s="328">
        <f>O37+P37+Q37+R37</f>
        <v>30000</v>
      </c>
      <c r="U37" s="328"/>
      <c r="V37" s="328"/>
      <c r="W37" s="304"/>
      <c r="X37" s="304"/>
      <c r="Y37" s="304"/>
      <c r="Z37" s="304"/>
      <c r="AA37" s="304"/>
      <c r="AB37" s="304"/>
      <c r="AC37" s="304"/>
      <c r="AD37" s="304"/>
      <c r="AE37" s="304"/>
      <c r="AF37" s="304"/>
      <c r="AG37" s="304"/>
      <c r="AH37" s="304"/>
      <c r="AI37" s="304"/>
      <c r="AJ37" s="307"/>
      <c r="AL37" s="303"/>
      <c r="AM37" s="303"/>
      <c r="AN37" s="303"/>
      <c r="AO37" s="303"/>
      <c r="AP37" s="303"/>
      <c r="AQ37" s="303"/>
      <c r="AR37" s="303"/>
    </row>
    <row r="38" spans="1:44" s="346" customFormat="1" ht="23.25" customHeight="1">
      <c r="A38" s="304"/>
      <c r="B38" s="329"/>
      <c r="C38" s="329"/>
      <c r="D38" s="329">
        <v>10403</v>
      </c>
      <c r="E38" s="329"/>
      <c r="F38" s="329"/>
      <c r="G38" s="329"/>
      <c r="H38" s="329"/>
      <c r="I38" s="328"/>
      <c r="J38" s="328"/>
      <c r="K38" s="328"/>
      <c r="L38" s="328"/>
      <c r="M38" s="328"/>
      <c r="N38" s="328"/>
      <c r="O38" s="328"/>
      <c r="P38" s="328"/>
      <c r="Q38" s="328"/>
      <c r="R38" s="328"/>
      <c r="S38" s="328"/>
      <c r="T38" s="328">
        <f>N36-T37</f>
        <v>11740</v>
      </c>
      <c r="U38" s="328"/>
      <c r="V38" s="328">
        <v>13296</v>
      </c>
      <c r="W38" s="304">
        <v>5500</v>
      </c>
      <c r="X38" s="304"/>
      <c r="Y38" s="304"/>
      <c r="Z38" s="304"/>
      <c r="AA38" s="304"/>
      <c r="AB38" s="304"/>
      <c r="AC38" s="304"/>
      <c r="AD38" s="304"/>
      <c r="AE38" s="304"/>
      <c r="AF38" s="304"/>
      <c r="AG38" s="304"/>
      <c r="AH38" s="304"/>
      <c r="AI38" s="304"/>
      <c r="AJ38" s="307"/>
      <c r="AL38" s="303"/>
      <c r="AM38" s="303"/>
      <c r="AN38" s="303"/>
      <c r="AO38" s="303"/>
      <c r="AP38" s="303"/>
      <c r="AQ38" s="303"/>
      <c r="AR38" s="303"/>
    </row>
    <row r="39" spans="1:44" s="346" customFormat="1" ht="23.25" customHeight="1">
      <c r="A39" s="304"/>
      <c r="B39" s="329"/>
      <c r="C39" s="329"/>
      <c r="D39" s="329">
        <f>13851</f>
        <v>13851</v>
      </c>
      <c r="E39" s="329"/>
      <c r="F39" s="329"/>
      <c r="G39" s="329"/>
      <c r="H39" s="329"/>
      <c r="I39" s="328"/>
      <c r="J39" s="328"/>
      <c r="K39" s="328"/>
      <c r="L39" s="328"/>
      <c r="M39" s="328"/>
      <c r="N39" s="328"/>
      <c r="O39" s="328"/>
      <c r="P39" s="328"/>
      <c r="Q39" s="328"/>
      <c r="R39" s="328"/>
      <c r="S39" s="328"/>
      <c r="T39" s="328">
        <v>15000</v>
      </c>
      <c r="U39" s="328"/>
      <c r="V39" s="328">
        <v>13881</v>
      </c>
      <c r="W39" s="304">
        <v>5696</v>
      </c>
      <c r="X39" s="304"/>
      <c r="Y39" s="304"/>
      <c r="Z39" s="304"/>
      <c r="AA39" s="304"/>
      <c r="AB39" s="304"/>
      <c r="AC39" s="304"/>
      <c r="AD39" s="304"/>
      <c r="AE39" s="304"/>
      <c r="AF39" s="304"/>
      <c r="AG39" s="304"/>
      <c r="AH39" s="304"/>
      <c r="AI39" s="304"/>
      <c r="AJ39" s="307"/>
      <c r="AL39" s="303"/>
      <c r="AM39" s="303"/>
      <c r="AN39" s="303"/>
      <c r="AO39" s="303"/>
      <c r="AP39" s="303"/>
      <c r="AQ39" s="303"/>
      <c r="AR39" s="303"/>
    </row>
    <row r="40" spans="1:44" s="346" customFormat="1" ht="23.25" customHeight="1">
      <c r="A40" s="304"/>
      <c r="B40" s="329"/>
      <c r="C40" s="329"/>
      <c r="D40" s="329">
        <f>D39-D38</f>
        <v>3448</v>
      </c>
      <c r="E40" s="329"/>
      <c r="F40" s="329"/>
      <c r="G40" s="329"/>
      <c r="H40" s="329"/>
      <c r="I40" s="328"/>
      <c r="J40" s="328"/>
      <c r="K40" s="328"/>
      <c r="L40" s="328"/>
      <c r="M40" s="328"/>
      <c r="N40" s="328"/>
      <c r="O40" s="328"/>
      <c r="P40" s="328"/>
      <c r="Q40" s="328"/>
      <c r="R40" s="328"/>
      <c r="S40" s="328"/>
      <c r="T40" s="328"/>
      <c r="U40" s="328"/>
      <c r="V40" s="328">
        <f>V39-V38</f>
        <v>585</v>
      </c>
      <c r="W40" s="304">
        <f>W39-W38</f>
        <v>196</v>
      </c>
      <c r="X40" s="304"/>
      <c r="Y40" s="304"/>
      <c r="Z40" s="304"/>
      <c r="AA40" s="304"/>
      <c r="AB40" s="304"/>
      <c r="AC40" s="304"/>
      <c r="AD40" s="304"/>
      <c r="AE40" s="304"/>
      <c r="AF40" s="304"/>
      <c r="AG40" s="304"/>
      <c r="AH40" s="304"/>
      <c r="AI40" s="304"/>
      <c r="AJ40" s="307"/>
      <c r="AL40" s="303"/>
      <c r="AM40" s="303"/>
      <c r="AN40" s="303"/>
      <c r="AO40" s="303"/>
      <c r="AP40" s="303"/>
      <c r="AQ40" s="303"/>
      <c r="AR40" s="303"/>
    </row>
    <row r="41" spans="1:44" s="346" customFormat="1" ht="23.25" customHeight="1">
      <c r="A41" s="304"/>
      <c r="B41" s="329"/>
      <c r="G41" s="347"/>
      <c r="H41" s="329"/>
      <c r="I41" s="328"/>
      <c r="J41" s="328"/>
      <c r="K41" s="328"/>
      <c r="L41" s="328"/>
      <c r="M41" s="328"/>
      <c r="N41" s="328"/>
      <c r="O41" s="328"/>
      <c r="P41" s="328"/>
      <c r="Q41" s="328"/>
      <c r="R41" s="328"/>
      <c r="S41" s="328"/>
      <c r="T41" s="328"/>
      <c r="U41" s="328"/>
      <c r="V41" s="328">
        <v>196</v>
      </c>
      <c r="W41" s="304"/>
      <c r="X41" s="304"/>
      <c r="Y41" s="304"/>
      <c r="Z41" s="304"/>
      <c r="AA41" s="304"/>
      <c r="AB41" s="304"/>
      <c r="AC41" s="304"/>
      <c r="AD41" s="304"/>
      <c r="AE41" s="304"/>
      <c r="AF41" s="304"/>
      <c r="AG41" s="304"/>
      <c r="AH41" s="304"/>
      <c r="AI41" s="304"/>
      <c r="AJ41" s="307"/>
      <c r="AL41" s="303"/>
      <c r="AM41" s="303"/>
      <c r="AN41" s="303"/>
      <c r="AO41" s="303"/>
      <c r="AP41" s="303"/>
      <c r="AQ41" s="303"/>
      <c r="AR41" s="303"/>
    </row>
    <row r="42" spans="1:44" s="346" customFormat="1" ht="23.25" customHeight="1">
      <c r="A42" s="304"/>
      <c r="B42" s="329"/>
      <c r="G42" s="347"/>
      <c r="H42" s="329"/>
      <c r="I42" s="328"/>
      <c r="J42" s="328"/>
      <c r="K42" s="328"/>
      <c r="L42" s="328"/>
      <c r="M42" s="328"/>
      <c r="N42" s="328"/>
      <c r="O42" s="328"/>
      <c r="P42" s="328"/>
      <c r="Q42" s="328"/>
      <c r="R42" s="328"/>
      <c r="S42" s="328"/>
      <c r="T42" s="328"/>
      <c r="U42" s="328"/>
      <c r="V42" s="328">
        <f>SUM(V40:V41)</f>
        <v>781</v>
      </c>
      <c r="W42" s="304"/>
      <c r="X42" s="304"/>
      <c r="Y42" s="304"/>
      <c r="Z42" s="304"/>
      <c r="AA42" s="304"/>
      <c r="AB42" s="304"/>
      <c r="AC42" s="304"/>
      <c r="AD42" s="304"/>
      <c r="AE42" s="304"/>
      <c r="AF42" s="304"/>
      <c r="AG42" s="304"/>
      <c r="AH42" s="304"/>
      <c r="AI42" s="304"/>
      <c r="AJ42" s="307"/>
      <c r="AL42" s="303"/>
      <c r="AM42" s="303"/>
      <c r="AN42" s="303"/>
      <c r="AO42" s="303"/>
      <c r="AP42" s="303"/>
      <c r="AQ42" s="303"/>
      <c r="AR42" s="303"/>
    </row>
    <row r="43" spans="1:44" s="346" customFormat="1" ht="23.25" customHeight="1">
      <c r="A43" s="304"/>
      <c r="B43" s="329"/>
      <c r="G43" s="347"/>
      <c r="H43" s="329"/>
      <c r="I43" s="328"/>
      <c r="J43" s="328"/>
      <c r="K43" s="328"/>
      <c r="L43" s="328"/>
      <c r="M43" s="328"/>
      <c r="N43" s="328"/>
      <c r="O43" s="328"/>
      <c r="P43" s="328"/>
      <c r="Q43" s="328"/>
      <c r="R43" s="328"/>
      <c r="S43" s="328"/>
      <c r="T43" s="328"/>
      <c r="U43" s="328"/>
      <c r="V43" s="328"/>
      <c r="W43" s="304"/>
      <c r="X43" s="304"/>
      <c r="Y43" s="304"/>
      <c r="Z43" s="304"/>
      <c r="AA43" s="304"/>
      <c r="AB43" s="304"/>
      <c r="AC43" s="304"/>
      <c r="AD43" s="304"/>
      <c r="AE43" s="304"/>
      <c r="AF43" s="304"/>
      <c r="AG43" s="304"/>
      <c r="AH43" s="304"/>
      <c r="AI43" s="304"/>
      <c r="AJ43" s="307"/>
      <c r="AL43" s="303"/>
      <c r="AM43" s="303"/>
      <c r="AN43" s="303"/>
      <c r="AO43" s="303"/>
      <c r="AP43" s="303"/>
      <c r="AQ43" s="303"/>
      <c r="AR43" s="303"/>
    </row>
    <row r="44" spans="1:44" s="346" customFormat="1" ht="23.25" customHeight="1">
      <c r="A44" s="304"/>
      <c r="B44" s="329"/>
      <c r="G44" s="347"/>
      <c r="H44" s="329"/>
      <c r="I44" s="328"/>
      <c r="J44" s="328"/>
      <c r="K44" s="328"/>
      <c r="L44" s="328"/>
      <c r="M44" s="328"/>
      <c r="N44" s="328"/>
      <c r="O44" s="328"/>
      <c r="P44" s="328"/>
      <c r="Q44" s="328"/>
      <c r="R44" s="328"/>
      <c r="S44" s="328"/>
      <c r="T44" s="328"/>
      <c r="U44" s="328"/>
      <c r="V44" s="328"/>
      <c r="W44" s="304"/>
      <c r="X44" s="304"/>
      <c r="Y44" s="304"/>
      <c r="Z44" s="304"/>
      <c r="AA44" s="304"/>
      <c r="AB44" s="304"/>
      <c r="AC44" s="304"/>
      <c r="AD44" s="304"/>
      <c r="AE44" s="304"/>
      <c r="AF44" s="304"/>
      <c r="AG44" s="304"/>
      <c r="AH44" s="304"/>
      <c r="AI44" s="304"/>
      <c r="AJ44" s="307"/>
      <c r="AL44" s="303"/>
      <c r="AM44" s="303"/>
      <c r="AN44" s="303"/>
      <c r="AO44" s="303"/>
      <c r="AP44" s="303"/>
      <c r="AQ44" s="303"/>
      <c r="AR44" s="303"/>
    </row>
    <row r="45" spans="1:44" s="346" customFormat="1" ht="23.25" customHeight="1">
      <c r="A45" s="304"/>
      <c r="B45" s="329"/>
      <c r="G45" s="347"/>
      <c r="H45" s="329"/>
      <c r="I45" s="328"/>
      <c r="J45" s="328"/>
      <c r="K45" s="328"/>
      <c r="L45" s="328"/>
      <c r="M45" s="328"/>
      <c r="N45" s="328"/>
      <c r="O45" s="328"/>
      <c r="P45" s="328"/>
      <c r="Q45" s="328"/>
      <c r="R45" s="328"/>
      <c r="S45" s="328"/>
      <c r="T45" s="328"/>
      <c r="U45" s="328"/>
      <c r="V45" s="328"/>
      <c r="W45" s="304"/>
      <c r="X45" s="304"/>
      <c r="Y45" s="304"/>
      <c r="Z45" s="304"/>
      <c r="AA45" s="304"/>
      <c r="AB45" s="304"/>
      <c r="AC45" s="304"/>
      <c r="AD45" s="304"/>
      <c r="AE45" s="304"/>
      <c r="AF45" s="304"/>
      <c r="AG45" s="304"/>
      <c r="AH45" s="304"/>
      <c r="AI45" s="304"/>
      <c r="AJ45" s="307"/>
      <c r="AL45" s="303"/>
      <c r="AM45" s="303"/>
      <c r="AN45" s="303"/>
      <c r="AO45" s="303"/>
      <c r="AP45" s="303"/>
      <c r="AQ45" s="303"/>
      <c r="AR45" s="303"/>
    </row>
    <row r="46" spans="1:44" s="346" customFormat="1" ht="23.25" customHeight="1">
      <c r="A46" s="304"/>
      <c r="B46" s="329"/>
      <c r="G46" s="347"/>
      <c r="H46" s="329"/>
      <c r="I46" s="328"/>
      <c r="J46" s="328"/>
      <c r="K46" s="328"/>
      <c r="L46" s="328"/>
      <c r="M46" s="328"/>
      <c r="N46" s="328"/>
      <c r="O46" s="328"/>
      <c r="P46" s="328"/>
      <c r="Q46" s="328"/>
      <c r="R46" s="328"/>
      <c r="S46" s="328"/>
      <c r="T46" s="328"/>
      <c r="U46" s="328"/>
      <c r="V46" s="328"/>
      <c r="W46" s="304"/>
      <c r="X46" s="304"/>
      <c r="Y46" s="304"/>
      <c r="Z46" s="304"/>
      <c r="AA46" s="304"/>
      <c r="AB46" s="304"/>
      <c r="AC46" s="304"/>
      <c r="AD46" s="304"/>
      <c r="AE46" s="304"/>
      <c r="AF46" s="304"/>
      <c r="AG46" s="304"/>
      <c r="AH46" s="304"/>
      <c r="AI46" s="304"/>
      <c r="AJ46" s="307"/>
      <c r="AL46" s="303"/>
      <c r="AM46" s="303"/>
      <c r="AN46" s="303"/>
      <c r="AO46" s="303"/>
      <c r="AP46" s="303"/>
      <c r="AQ46" s="303"/>
      <c r="AR46" s="303"/>
    </row>
    <row r="47" spans="1:44" s="346" customFormat="1" ht="23.25" customHeight="1">
      <c r="A47" s="304"/>
      <c r="B47" s="329"/>
      <c r="G47" s="347"/>
      <c r="H47" s="329"/>
      <c r="I47" s="328"/>
      <c r="J47" s="328"/>
      <c r="K47" s="328"/>
      <c r="L47" s="328"/>
      <c r="M47" s="328"/>
      <c r="N47" s="328"/>
      <c r="O47" s="328"/>
      <c r="P47" s="328"/>
      <c r="Q47" s="328"/>
      <c r="R47" s="328"/>
      <c r="S47" s="328"/>
      <c r="T47" s="328"/>
      <c r="U47" s="328"/>
      <c r="V47" s="328"/>
      <c r="W47" s="304"/>
      <c r="X47" s="304"/>
      <c r="Y47" s="304"/>
      <c r="Z47" s="304"/>
      <c r="AA47" s="304"/>
      <c r="AB47" s="304"/>
      <c r="AC47" s="304"/>
      <c r="AD47" s="304"/>
      <c r="AE47" s="304"/>
      <c r="AF47" s="304"/>
      <c r="AG47" s="304"/>
      <c r="AH47" s="304"/>
      <c r="AI47" s="304"/>
      <c r="AJ47" s="307"/>
      <c r="AL47" s="303"/>
      <c r="AM47" s="303"/>
      <c r="AN47" s="303"/>
      <c r="AO47" s="303"/>
      <c r="AP47" s="303"/>
      <c r="AQ47" s="303"/>
      <c r="AR47" s="303"/>
    </row>
    <row r="48" spans="1:44" s="346" customFormat="1" ht="23.25" customHeight="1">
      <c r="A48" s="304"/>
      <c r="B48" s="329"/>
      <c r="G48" s="347"/>
      <c r="H48" s="329"/>
      <c r="I48" s="328"/>
      <c r="J48" s="328"/>
      <c r="K48" s="328"/>
      <c r="L48" s="328"/>
      <c r="M48" s="328"/>
      <c r="N48" s="328"/>
      <c r="O48" s="328"/>
      <c r="P48" s="328"/>
      <c r="Q48" s="328"/>
      <c r="R48" s="328"/>
      <c r="S48" s="328"/>
      <c r="T48" s="328"/>
      <c r="U48" s="328"/>
      <c r="V48" s="328"/>
      <c r="W48" s="304"/>
      <c r="X48" s="304"/>
      <c r="Y48" s="304"/>
      <c r="Z48" s="304"/>
      <c r="AA48" s="304"/>
      <c r="AB48" s="304"/>
      <c r="AC48" s="304"/>
      <c r="AD48" s="304"/>
      <c r="AE48" s="304"/>
      <c r="AF48" s="304"/>
      <c r="AG48" s="304"/>
      <c r="AH48" s="304"/>
      <c r="AI48" s="304"/>
      <c r="AJ48" s="307"/>
      <c r="AL48" s="303"/>
      <c r="AM48" s="303"/>
      <c r="AN48" s="303"/>
      <c r="AO48" s="303"/>
      <c r="AP48" s="303"/>
      <c r="AQ48" s="303"/>
      <c r="AR48" s="303"/>
    </row>
    <row r="49" spans="1:44" s="346" customFormat="1" ht="23.25" customHeight="1">
      <c r="A49" s="304"/>
      <c r="B49" s="329"/>
      <c r="G49" s="347"/>
      <c r="H49" s="329"/>
      <c r="I49" s="328"/>
      <c r="J49" s="328"/>
      <c r="K49" s="328"/>
      <c r="L49" s="328"/>
      <c r="M49" s="328"/>
      <c r="N49" s="328"/>
      <c r="O49" s="328"/>
      <c r="P49" s="328"/>
      <c r="Q49" s="328"/>
      <c r="R49" s="328"/>
      <c r="S49" s="328"/>
      <c r="T49" s="328"/>
      <c r="U49" s="328"/>
      <c r="V49" s="328"/>
      <c r="W49" s="304"/>
      <c r="X49" s="304"/>
      <c r="Y49" s="304"/>
      <c r="Z49" s="304"/>
      <c r="AA49" s="304"/>
      <c r="AB49" s="304"/>
      <c r="AC49" s="304"/>
      <c r="AD49" s="304"/>
      <c r="AE49" s="304"/>
      <c r="AF49" s="304"/>
      <c r="AG49" s="304"/>
      <c r="AH49" s="304"/>
      <c r="AI49" s="304"/>
      <c r="AJ49" s="307"/>
      <c r="AL49" s="303"/>
      <c r="AM49" s="303"/>
      <c r="AN49" s="303"/>
      <c r="AO49" s="303"/>
      <c r="AP49" s="303"/>
      <c r="AQ49" s="303"/>
      <c r="AR49" s="303"/>
    </row>
    <row r="50" spans="1:44" s="346" customFormat="1" ht="23.25" customHeight="1">
      <c r="A50" s="304"/>
      <c r="B50" s="329"/>
      <c r="G50" s="347"/>
      <c r="H50" s="329"/>
      <c r="I50" s="328"/>
      <c r="J50" s="328"/>
      <c r="K50" s="328"/>
      <c r="L50" s="328"/>
      <c r="M50" s="328"/>
      <c r="N50" s="328"/>
      <c r="O50" s="328"/>
      <c r="P50" s="328"/>
      <c r="Q50" s="328"/>
      <c r="R50" s="328"/>
      <c r="S50" s="328"/>
      <c r="T50" s="328"/>
      <c r="U50" s="328"/>
      <c r="V50" s="328"/>
      <c r="W50" s="304"/>
      <c r="X50" s="304"/>
      <c r="Y50" s="304"/>
      <c r="Z50" s="304"/>
      <c r="AA50" s="304"/>
      <c r="AB50" s="304"/>
      <c r="AC50" s="304"/>
      <c r="AD50" s="304"/>
      <c r="AE50" s="304"/>
      <c r="AF50" s="304"/>
      <c r="AG50" s="304"/>
      <c r="AH50" s="304"/>
      <c r="AI50" s="304"/>
      <c r="AJ50" s="307"/>
      <c r="AL50" s="303"/>
      <c r="AM50" s="303"/>
      <c r="AN50" s="303"/>
      <c r="AO50" s="303"/>
      <c r="AP50" s="303"/>
      <c r="AQ50" s="303"/>
      <c r="AR50" s="303"/>
    </row>
    <row r="51" spans="1:44" s="346" customFormat="1" ht="23.25" customHeight="1">
      <c r="A51" s="304"/>
      <c r="B51" s="329"/>
      <c r="G51" s="347"/>
      <c r="H51" s="329"/>
      <c r="I51" s="328"/>
      <c r="J51" s="328"/>
      <c r="K51" s="328"/>
      <c r="L51" s="328"/>
      <c r="M51" s="328"/>
      <c r="N51" s="328"/>
      <c r="O51" s="328"/>
      <c r="P51" s="328"/>
      <c r="Q51" s="328"/>
      <c r="R51" s="328"/>
      <c r="S51" s="328"/>
      <c r="T51" s="328"/>
      <c r="U51" s="328"/>
      <c r="V51" s="328"/>
      <c r="W51" s="304"/>
      <c r="X51" s="304"/>
      <c r="Y51" s="304"/>
      <c r="Z51" s="304"/>
      <c r="AA51" s="304"/>
      <c r="AB51" s="304"/>
      <c r="AC51" s="304"/>
      <c r="AD51" s="304"/>
      <c r="AE51" s="304"/>
      <c r="AF51" s="304"/>
      <c r="AG51" s="304"/>
      <c r="AH51" s="304"/>
      <c r="AI51" s="304"/>
      <c r="AJ51" s="307"/>
      <c r="AL51" s="303"/>
      <c r="AM51" s="303"/>
      <c r="AN51" s="303"/>
      <c r="AO51" s="303"/>
      <c r="AP51" s="303"/>
      <c r="AQ51" s="303"/>
      <c r="AR51" s="303"/>
    </row>
    <row r="52" spans="1:44" s="346" customFormat="1" ht="23.25" customHeight="1">
      <c r="A52" s="304"/>
      <c r="B52" s="329"/>
      <c r="G52" s="347"/>
      <c r="H52" s="329"/>
      <c r="I52" s="328"/>
      <c r="J52" s="328"/>
      <c r="K52" s="328"/>
      <c r="L52" s="328"/>
      <c r="M52" s="328"/>
      <c r="N52" s="328"/>
      <c r="O52" s="328"/>
      <c r="P52" s="328"/>
      <c r="Q52" s="328"/>
      <c r="R52" s="328"/>
      <c r="S52" s="328"/>
      <c r="T52" s="328"/>
      <c r="U52" s="328"/>
      <c r="V52" s="328"/>
      <c r="W52" s="304"/>
      <c r="X52" s="304"/>
      <c r="Y52" s="304"/>
      <c r="Z52" s="304"/>
      <c r="AA52" s="304"/>
      <c r="AB52" s="304"/>
      <c r="AC52" s="304"/>
      <c r="AD52" s="304"/>
      <c r="AE52" s="304"/>
      <c r="AF52" s="304"/>
      <c r="AG52" s="304"/>
      <c r="AH52" s="304"/>
      <c r="AI52" s="304"/>
      <c r="AJ52" s="307"/>
      <c r="AL52" s="303"/>
      <c r="AM52" s="303"/>
      <c r="AN52" s="303"/>
      <c r="AO52" s="303"/>
      <c r="AP52" s="303"/>
      <c r="AQ52" s="303"/>
      <c r="AR52" s="303"/>
    </row>
    <row r="53" spans="1:44" s="346" customFormat="1" ht="23.25" customHeight="1">
      <c r="A53" s="304"/>
      <c r="B53" s="329"/>
      <c r="G53" s="347"/>
      <c r="H53" s="329"/>
      <c r="I53" s="328"/>
      <c r="J53" s="328"/>
      <c r="K53" s="328"/>
      <c r="L53" s="328"/>
      <c r="M53" s="328"/>
      <c r="N53" s="328"/>
      <c r="O53" s="328"/>
      <c r="P53" s="328"/>
      <c r="Q53" s="328"/>
      <c r="R53" s="328"/>
      <c r="S53" s="328"/>
      <c r="T53" s="328"/>
      <c r="U53" s="328"/>
      <c r="V53" s="328"/>
      <c r="W53" s="304"/>
      <c r="X53" s="304"/>
      <c r="Y53" s="304"/>
      <c r="Z53" s="304"/>
      <c r="AA53" s="304"/>
      <c r="AB53" s="304"/>
      <c r="AC53" s="304"/>
      <c r="AD53" s="304"/>
      <c r="AE53" s="304"/>
      <c r="AF53" s="304"/>
      <c r="AG53" s="304"/>
      <c r="AH53" s="304"/>
      <c r="AI53" s="304"/>
      <c r="AJ53" s="307"/>
      <c r="AL53" s="303"/>
      <c r="AM53" s="303"/>
      <c r="AN53" s="303"/>
      <c r="AO53" s="303"/>
      <c r="AP53" s="303"/>
      <c r="AQ53" s="303"/>
      <c r="AR53" s="303"/>
    </row>
    <row r="54" spans="1:44" s="346" customFormat="1" ht="23.25" customHeight="1">
      <c r="A54" s="304"/>
      <c r="B54" s="329"/>
      <c r="C54" s="329"/>
      <c r="D54" s="329"/>
      <c r="E54" s="329"/>
      <c r="F54" s="329"/>
      <c r="G54" s="329"/>
      <c r="H54" s="329"/>
      <c r="I54" s="328"/>
      <c r="J54" s="328"/>
      <c r="K54" s="328"/>
      <c r="L54" s="328"/>
      <c r="M54" s="328"/>
      <c r="N54" s="328"/>
      <c r="O54" s="328"/>
      <c r="P54" s="328"/>
      <c r="Q54" s="328"/>
      <c r="R54" s="328"/>
      <c r="S54" s="328"/>
      <c r="T54" s="328"/>
      <c r="U54" s="328"/>
      <c r="V54" s="328"/>
      <c r="W54" s="304"/>
      <c r="X54" s="304"/>
      <c r="Y54" s="304"/>
      <c r="Z54" s="304"/>
      <c r="AA54" s="304"/>
      <c r="AB54" s="304"/>
      <c r="AC54" s="304"/>
      <c r="AD54" s="304"/>
      <c r="AE54" s="304"/>
      <c r="AF54" s="304"/>
      <c r="AG54" s="304"/>
      <c r="AH54" s="304"/>
      <c r="AI54" s="304"/>
      <c r="AJ54" s="307"/>
      <c r="AL54" s="303"/>
      <c r="AM54" s="303"/>
      <c r="AN54" s="303"/>
      <c r="AO54" s="303"/>
      <c r="AP54" s="303"/>
      <c r="AQ54" s="303"/>
      <c r="AR54" s="303"/>
    </row>
    <row r="55" spans="1:44" s="346" customFormat="1" ht="23.25" customHeight="1">
      <c r="A55" s="304"/>
      <c r="B55" s="329"/>
      <c r="C55" s="329"/>
      <c r="D55" s="329"/>
      <c r="E55" s="329"/>
      <c r="F55" s="329"/>
      <c r="G55" s="329"/>
      <c r="H55" s="329"/>
      <c r="I55" s="328"/>
      <c r="J55" s="328"/>
      <c r="K55" s="328"/>
      <c r="L55" s="328"/>
      <c r="M55" s="328"/>
      <c r="N55" s="328"/>
      <c r="O55" s="328"/>
      <c r="P55" s="328"/>
      <c r="Q55" s="328"/>
      <c r="R55" s="328"/>
      <c r="S55" s="328"/>
      <c r="T55" s="328"/>
      <c r="U55" s="328"/>
      <c r="V55" s="328"/>
      <c r="W55" s="304"/>
      <c r="X55" s="304"/>
      <c r="Y55" s="304"/>
      <c r="Z55" s="304"/>
      <c r="AA55" s="304"/>
      <c r="AB55" s="304"/>
      <c r="AC55" s="304"/>
      <c r="AD55" s="304"/>
      <c r="AE55" s="304"/>
      <c r="AF55" s="304"/>
      <c r="AG55" s="304"/>
      <c r="AH55" s="304"/>
      <c r="AI55" s="304"/>
      <c r="AJ55" s="307"/>
      <c r="AL55" s="303"/>
      <c r="AM55" s="303"/>
      <c r="AN55" s="303"/>
      <c r="AO55" s="303"/>
      <c r="AP55" s="303"/>
      <c r="AQ55" s="303"/>
      <c r="AR55" s="303"/>
    </row>
    <row r="56" spans="1:44" s="346" customFormat="1" ht="23.25" customHeight="1">
      <c r="A56" s="304"/>
      <c r="B56" s="329"/>
      <c r="G56" s="347"/>
      <c r="H56" s="329"/>
      <c r="I56" s="328"/>
      <c r="J56" s="328"/>
      <c r="K56" s="328"/>
      <c r="L56" s="328"/>
      <c r="M56" s="328"/>
      <c r="N56" s="328"/>
      <c r="O56" s="328"/>
      <c r="P56" s="328"/>
      <c r="Q56" s="328"/>
      <c r="R56" s="328"/>
      <c r="S56" s="328"/>
      <c r="T56" s="328"/>
      <c r="U56" s="328"/>
      <c r="V56" s="328"/>
      <c r="W56" s="304"/>
      <c r="X56" s="304"/>
      <c r="Y56" s="304"/>
      <c r="Z56" s="304"/>
      <c r="AA56" s="304"/>
      <c r="AB56" s="304"/>
      <c r="AC56" s="304"/>
      <c r="AD56" s="304"/>
      <c r="AE56" s="304"/>
      <c r="AF56" s="304"/>
      <c r="AG56" s="304"/>
      <c r="AH56" s="304"/>
      <c r="AI56" s="304"/>
      <c r="AJ56" s="307"/>
      <c r="AL56" s="303"/>
      <c r="AM56" s="303"/>
      <c r="AN56" s="303"/>
      <c r="AO56" s="303"/>
      <c r="AP56" s="303"/>
      <c r="AQ56" s="303"/>
      <c r="AR56" s="303"/>
    </row>
    <row r="57" spans="1:44" s="346" customFormat="1" ht="23.25" customHeight="1">
      <c r="A57" s="304"/>
      <c r="B57" s="329"/>
      <c r="G57" s="347"/>
      <c r="H57" s="329"/>
      <c r="I57" s="328"/>
      <c r="J57" s="328"/>
      <c r="K57" s="328"/>
      <c r="L57" s="328"/>
      <c r="M57" s="328"/>
      <c r="N57" s="328"/>
      <c r="O57" s="328"/>
      <c r="P57" s="328"/>
      <c r="Q57" s="328"/>
      <c r="R57" s="328"/>
      <c r="S57" s="328"/>
      <c r="T57" s="328"/>
      <c r="U57" s="328"/>
      <c r="V57" s="328"/>
      <c r="W57" s="304"/>
      <c r="X57" s="304"/>
      <c r="Y57" s="304"/>
      <c r="Z57" s="304"/>
      <c r="AA57" s="304"/>
      <c r="AB57" s="304"/>
      <c r="AC57" s="304"/>
      <c r="AD57" s="304"/>
      <c r="AE57" s="304"/>
      <c r="AF57" s="304"/>
      <c r="AG57" s="304"/>
      <c r="AH57" s="304"/>
      <c r="AI57" s="304"/>
      <c r="AJ57" s="307"/>
      <c r="AL57" s="303"/>
      <c r="AM57" s="303"/>
      <c r="AN57" s="303"/>
      <c r="AO57" s="303"/>
      <c r="AP57" s="303"/>
      <c r="AQ57" s="303"/>
      <c r="AR57" s="303"/>
    </row>
    <row r="58" spans="1:44" s="346" customFormat="1" ht="23.25" customHeight="1">
      <c r="A58" s="304"/>
      <c r="B58" s="329"/>
      <c r="G58" s="347"/>
      <c r="H58" s="329"/>
      <c r="I58" s="328"/>
      <c r="J58" s="328"/>
      <c r="K58" s="328"/>
      <c r="L58" s="328"/>
      <c r="M58" s="328"/>
      <c r="N58" s="328"/>
      <c r="O58" s="328"/>
      <c r="P58" s="328"/>
      <c r="Q58" s="328"/>
      <c r="R58" s="328"/>
      <c r="S58" s="328"/>
      <c r="T58" s="328"/>
      <c r="U58" s="328"/>
      <c r="V58" s="328"/>
      <c r="W58" s="304"/>
      <c r="X58" s="304"/>
      <c r="Y58" s="304"/>
      <c r="Z58" s="304"/>
      <c r="AA58" s="304"/>
      <c r="AB58" s="304"/>
      <c r="AC58" s="304"/>
      <c r="AD58" s="304"/>
      <c r="AE58" s="304"/>
      <c r="AF58" s="304"/>
      <c r="AG58" s="304"/>
      <c r="AH58" s="304"/>
      <c r="AI58" s="304"/>
      <c r="AJ58" s="307"/>
      <c r="AL58" s="303"/>
      <c r="AM58" s="303"/>
      <c r="AN58" s="303"/>
      <c r="AO58" s="303"/>
      <c r="AP58" s="303"/>
      <c r="AQ58" s="303"/>
      <c r="AR58" s="303"/>
    </row>
    <row r="59" spans="1:44" s="346" customFormat="1" ht="23.25" customHeight="1">
      <c r="A59" s="304"/>
      <c r="B59" s="329"/>
      <c r="G59" s="347"/>
      <c r="H59" s="329"/>
      <c r="I59" s="328"/>
      <c r="J59" s="328"/>
      <c r="K59" s="328"/>
      <c r="L59" s="328"/>
      <c r="M59" s="328"/>
      <c r="N59" s="328"/>
      <c r="O59" s="328"/>
      <c r="P59" s="328"/>
      <c r="Q59" s="328"/>
      <c r="R59" s="328"/>
      <c r="S59" s="328"/>
      <c r="T59" s="328"/>
      <c r="U59" s="328"/>
      <c r="V59" s="328"/>
      <c r="W59" s="304"/>
      <c r="X59" s="304"/>
      <c r="Y59" s="304"/>
      <c r="Z59" s="304"/>
      <c r="AA59" s="304"/>
      <c r="AB59" s="304"/>
      <c r="AC59" s="304"/>
      <c r="AD59" s="304"/>
      <c r="AE59" s="304"/>
      <c r="AF59" s="304"/>
      <c r="AG59" s="304"/>
      <c r="AH59" s="304"/>
      <c r="AI59" s="304"/>
      <c r="AJ59" s="307"/>
      <c r="AL59" s="303"/>
      <c r="AM59" s="303"/>
      <c r="AN59" s="303"/>
      <c r="AO59" s="303"/>
      <c r="AP59" s="303"/>
      <c r="AQ59" s="303"/>
      <c r="AR59" s="303"/>
    </row>
    <row r="60" spans="1:44" s="346" customFormat="1" ht="23.25" customHeight="1">
      <c r="A60" s="304"/>
      <c r="B60" s="329"/>
      <c r="G60" s="347"/>
      <c r="H60" s="329"/>
      <c r="I60" s="328"/>
      <c r="J60" s="328"/>
      <c r="K60" s="328"/>
      <c r="L60" s="328"/>
      <c r="M60" s="328"/>
      <c r="N60" s="328"/>
      <c r="O60" s="328"/>
      <c r="P60" s="328"/>
      <c r="Q60" s="328"/>
      <c r="R60" s="328"/>
      <c r="S60" s="328"/>
      <c r="T60" s="328"/>
      <c r="U60" s="328"/>
      <c r="V60" s="328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7"/>
      <c r="AL60" s="303"/>
      <c r="AM60" s="303"/>
      <c r="AN60" s="303"/>
      <c r="AO60" s="303"/>
      <c r="AP60" s="303"/>
      <c r="AQ60" s="303"/>
      <c r="AR60" s="303"/>
    </row>
    <row r="61" spans="1:44" s="346" customFormat="1" ht="23.25" customHeight="1">
      <c r="A61" s="304"/>
      <c r="B61" s="329"/>
      <c r="G61" s="347"/>
      <c r="H61" s="329"/>
      <c r="I61" s="328"/>
      <c r="J61" s="328"/>
      <c r="K61" s="328"/>
      <c r="L61" s="328"/>
      <c r="M61" s="328"/>
      <c r="N61" s="328"/>
      <c r="O61" s="328"/>
      <c r="P61" s="328"/>
      <c r="Q61" s="328"/>
      <c r="R61" s="328"/>
      <c r="S61" s="328"/>
      <c r="T61" s="328"/>
      <c r="U61" s="328"/>
      <c r="V61" s="328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7"/>
      <c r="AL61" s="303"/>
      <c r="AM61" s="303"/>
      <c r="AN61" s="303"/>
      <c r="AO61" s="303"/>
      <c r="AP61" s="303"/>
      <c r="AQ61" s="303"/>
      <c r="AR61" s="303"/>
    </row>
    <row r="62" spans="1:44" s="346" customFormat="1" ht="23.25" customHeight="1">
      <c r="A62" s="304"/>
      <c r="B62" s="329"/>
      <c r="G62" s="347"/>
      <c r="H62" s="329"/>
      <c r="I62" s="328"/>
      <c r="J62" s="328"/>
      <c r="K62" s="328"/>
      <c r="L62" s="328"/>
      <c r="M62" s="328"/>
      <c r="N62" s="328"/>
      <c r="O62" s="328"/>
      <c r="P62" s="328"/>
      <c r="Q62" s="328"/>
      <c r="R62" s="328"/>
      <c r="S62" s="328"/>
      <c r="T62" s="328"/>
      <c r="U62" s="328"/>
      <c r="V62" s="328"/>
      <c r="W62" s="304"/>
      <c r="X62" s="304"/>
      <c r="Y62" s="304"/>
      <c r="Z62" s="304"/>
      <c r="AA62" s="304"/>
      <c r="AB62" s="304"/>
      <c r="AC62" s="304"/>
      <c r="AD62" s="304"/>
      <c r="AE62" s="304"/>
      <c r="AF62" s="304"/>
      <c r="AG62" s="304"/>
      <c r="AH62" s="304"/>
      <c r="AI62" s="304"/>
      <c r="AJ62" s="307"/>
      <c r="AL62" s="303"/>
      <c r="AM62" s="303"/>
      <c r="AN62" s="303"/>
      <c r="AO62" s="303"/>
      <c r="AP62" s="303"/>
      <c r="AQ62" s="303"/>
      <c r="AR62" s="303"/>
    </row>
    <row r="63" spans="1:44" s="346" customFormat="1" ht="23.25" customHeight="1">
      <c r="A63" s="304"/>
      <c r="B63" s="329"/>
      <c r="G63" s="347"/>
      <c r="H63" s="329"/>
      <c r="I63" s="328"/>
      <c r="J63" s="328"/>
      <c r="K63" s="328"/>
      <c r="L63" s="328"/>
      <c r="M63" s="328"/>
      <c r="N63" s="328"/>
      <c r="O63" s="328"/>
      <c r="P63" s="328"/>
      <c r="Q63" s="328"/>
      <c r="R63" s="328"/>
      <c r="S63" s="328"/>
      <c r="T63" s="328"/>
      <c r="U63" s="328"/>
      <c r="V63" s="328"/>
      <c r="W63" s="304"/>
      <c r="X63" s="304"/>
      <c r="Y63" s="304"/>
      <c r="Z63" s="304"/>
      <c r="AA63" s="304"/>
      <c r="AB63" s="304"/>
      <c r="AC63" s="304"/>
      <c r="AD63" s="304"/>
      <c r="AE63" s="304"/>
      <c r="AF63" s="304"/>
      <c r="AG63" s="304"/>
      <c r="AH63" s="304"/>
      <c r="AI63" s="304"/>
      <c r="AJ63" s="307"/>
      <c r="AL63" s="303"/>
      <c r="AM63" s="303"/>
      <c r="AN63" s="303"/>
      <c r="AO63" s="303"/>
      <c r="AP63" s="303"/>
      <c r="AQ63" s="303"/>
      <c r="AR63" s="303"/>
    </row>
    <row r="64" spans="1:44" s="346" customFormat="1" ht="23.25" customHeight="1">
      <c r="A64" s="304"/>
      <c r="B64" s="329"/>
      <c r="G64" s="347"/>
      <c r="H64" s="329"/>
      <c r="I64" s="328"/>
      <c r="J64" s="328"/>
      <c r="K64" s="328"/>
      <c r="L64" s="328"/>
      <c r="M64" s="328"/>
      <c r="N64" s="328"/>
      <c r="O64" s="328"/>
      <c r="P64" s="328"/>
      <c r="Q64" s="328"/>
      <c r="R64" s="328"/>
      <c r="S64" s="328"/>
      <c r="T64" s="328"/>
      <c r="U64" s="328"/>
      <c r="V64" s="328"/>
      <c r="W64" s="304"/>
      <c r="X64" s="304"/>
      <c r="Y64" s="304"/>
      <c r="Z64" s="304"/>
      <c r="AA64" s="304"/>
      <c r="AB64" s="304"/>
      <c r="AC64" s="304"/>
      <c r="AD64" s="304"/>
      <c r="AE64" s="304"/>
      <c r="AF64" s="304"/>
      <c r="AG64" s="304"/>
      <c r="AH64" s="304"/>
      <c r="AI64" s="304"/>
      <c r="AJ64" s="307"/>
      <c r="AL64" s="303"/>
      <c r="AM64" s="303"/>
      <c r="AN64" s="303"/>
      <c r="AO64" s="303"/>
      <c r="AP64" s="303"/>
      <c r="AQ64" s="303"/>
      <c r="AR64" s="303"/>
    </row>
    <row r="65" spans="1:44" s="346" customFormat="1" ht="23.25" customHeight="1">
      <c r="A65" s="304"/>
      <c r="B65" s="329"/>
      <c r="G65" s="347"/>
      <c r="H65" s="329"/>
      <c r="I65" s="328"/>
      <c r="J65" s="328"/>
      <c r="K65" s="328"/>
      <c r="L65" s="328"/>
      <c r="M65" s="328"/>
      <c r="N65" s="328"/>
      <c r="O65" s="328"/>
      <c r="P65" s="328"/>
      <c r="Q65" s="328"/>
      <c r="R65" s="328"/>
      <c r="S65" s="328"/>
      <c r="T65" s="328"/>
      <c r="U65" s="328"/>
      <c r="V65" s="328"/>
      <c r="W65" s="304"/>
      <c r="X65" s="304"/>
      <c r="Y65" s="304"/>
      <c r="Z65" s="304"/>
      <c r="AA65" s="304"/>
      <c r="AB65" s="304"/>
      <c r="AC65" s="304"/>
      <c r="AD65" s="304"/>
      <c r="AE65" s="304"/>
      <c r="AF65" s="304"/>
      <c r="AG65" s="304"/>
      <c r="AH65" s="304"/>
      <c r="AI65" s="304"/>
      <c r="AJ65" s="307"/>
      <c r="AL65" s="303"/>
      <c r="AM65" s="303"/>
      <c r="AN65" s="303"/>
      <c r="AO65" s="303"/>
      <c r="AP65" s="303"/>
      <c r="AQ65" s="303"/>
      <c r="AR65" s="303"/>
    </row>
    <row r="66" spans="1:44" s="346" customFormat="1" ht="23.25" customHeight="1">
      <c r="A66" s="304"/>
      <c r="B66" s="329"/>
      <c r="G66" s="347"/>
      <c r="H66" s="329"/>
      <c r="I66" s="328"/>
      <c r="J66" s="328"/>
      <c r="K66" s="328"/>
      <c r="L66" s="328"/>
      <c r="M66" s="328"/>
      <c r="N66" s="328"/>
      <c r="O66" s="328"/>
      <c r="P66" s="328"/>
      <c r="Q66" s="328"/>
      <c r="R66" s="328"/>
      <c r="S66" s="328"/>
      <c r="T66" s="328"/>
      <c r="U66" s="328"/>
      <c r="V66" s="328"/>
      <c r="W66" s="304"/>
      <c r="X66" s="304"/>
      <c r="Y66" s="304"/>
      <c r="Z66" s="304"/>
      <c r="AA66" s="304"/>
      <c r="AB66" s="304"/>
      <c r="AC66" s="304"/>
      <c r="AD66" s="304"/>
      <c r="AE66" s="304"/>
      <c r="AF66" s="304"/>
      <c r="AG66" s="304"/>
      <c r="AH66" s="304"/>
      <c r="AI66" s="304"/>
      <c r="AJ66" s="307"/>
      <c r="AL66" s="303"/>
      <c r="AM66" s="303"/>
      <c r="AN66" s="303"/>
      <c r="AO66" s="303"/>
      <c r="AP66" s="303"/>
      <c r="AQ66" s="303"/>
      <c r="AR66" s="303"/>
    </row>
    <row r="67" spans="1:44" s="346" customFormat="1" ht="23.25" customHeight="1">
      <c r="A67" s="304"/>
      <c r="B67" s="329"/>
      <c r="G67" s="347"/>
      <c r="H67" s="329"/>
      <c r="I67" s="328"/>
      <c r="J67" s="328"/>
      <c r="K67" s="328"/>
      <c r="L67" s="328"/>
      <c r="M67" s="328"/>
      <c r="N67" s="328"/>
      <c r="O67" s="328"/>
      <c r="P67" s="328"/>
      <c r="Q67" s="328"/>
      <c r="R67" s="328"/>
      <c r="S67" s="328"/>
      <c r="T67" s="328"/>
      <c r="U67" s="328"/>
      <c r="V67" s="328"/>
      <c r="W67" s="304"/>
      <c r="X67" s="304"/>
      <c r="Y67" s="304"/>
      <c r="Z67" s="304"/>
      <c r="AA67" s="304"/>
      <c r="AB67" s="304"/>
      <c r="AC67" s="304"/>
      <c r="AD67" s="304"/>
      <c r="AE67" s="304"/>
      <c r="AF67" s="304"/>
      <c r="AG67" s="304"/>
      <c r="AH67" s="304"/>
      <c r="AI67" s="304"/>
      <c r="AJ67" s="307"/>
      <c r="AL67" s="303"/>
      <c r="AM67" s="303"/>
      <c r="AN67" s="303"/>
      <c r="AO67" s="303"/>
      <c r="AP67" s="303"/>
      <c r="AQ67" s="303"/>
      <c r="AR67" s="303"/>
    </row>
    <row r="68" spans="1:44" s="346" customFormat="1" ht="23.25" customHeight="1">
      <c r="A68" s="304"/>
      <c r="B68" s="329"/>
      <c r="G68" s="347"/>
      <c r="H68" s="329"/>
      <c r="I68" s="328"/>
      <c r="J68" s="328"/>
      <c r="K68" s="328"/>
      <c r="L68" s="328"/>
      <c r="M68" s="328"/>
      <c r="N68" s="328"/>
      <c r="O68" s="328"/>
      <c r="P68" s="328"/>
      <c r="Q68" s="328"/>
      <c r="R68" s="328"/>
      <c r="S68" s="328"/>
      <c r="T68" s="328"/>
      <c r="U68" s="328"/>
      <c r="V68" s="328"/>
      <c r="W68" s="304"/>
      <c r="X68" s="304"/>
      <c r="Y68" s="304"/>
      <c r="Z68" s="304"/>
      <c r="AA68" s="304"/>
      <c r="AB68" s="304"/>
      <c r="AC68" s="304"/>
      <c r="AD68" s="304"/>
      <c r="AE68" s="304"/>
      <c r="AF68" s="304"/>
      <c r="AG68" s="304"/>
      <c r="AH68" s="304"/>
      <c r="AI68" s="304"/>
      <c r="AJ68" s="307"/>
      <c r="AL68" s="303"/>
      <c r="AM68" s="303"/>
      <c r="AN68" s="303"/>
      <c r="AO68" s="303"/>
      <c r="AP68" s="303"/>
      <c r="AQ68" s="303"/>
      <c r="AR68" s="303"/>
    </row>
    <row r="69" spans="1:44" s="346" customFormat="1" ht="23.25" customHeight="1">
      <c r="A69" s="304"/>
      <c r="B69" s="329"/>
      <c r="C69" s="329"/>
      <c r="D69" s="329"/>
      <c r="E69" s="329"/>
      <c r="F69" s="329"/>
      <c r="G69" s="329"/>
      <c r="H69" s="329"/>
      <c r="I69" s="328"/>
      <c r="J69" s="328"/>
      <c r="K69" s="328"/>
      <c r="L69" s="328"/>
      <c r="M69" s="328"/>
      <c r="N69" s="328"/>
      <c r="O69" s="328"/>
      <c r="P69" s="328"/>
      <c r="Q69" s="328"/>
      <c r="R69" s="328"/>
      <c r="S69" s="328"/>
      <c r="T69" s="328"/>
      <c r="U69" s="328"/>
      <c r="V69" s="328"/>
      <c r="W69" s="304"/>
      <c r="X69" s="304"/>
      <c r="Y69" s="304"/>
      <c r="Z69" s="304"/>
      <c r="AA69" s="304"/>
      <c r="AB69" s="304"/>
      <c r="AC69" s="304"/>
      <c r="AD69" s="304"/>
      <c r="AE69" s="304"/>
      <c r="AF69" s="304"/>
      <c r="AG69" s="304"/>
      <c r="AH69" s="304"/>
      <c r="AI69" s="304"/>
      <c r="AJ69" s="307"/>
      <c r="AL69" s="303"/>
      <c r="AM69" s="303"/>
      <c r="AN69" s="303"/>
      <c r="AO69" s="303"/>
      <c r="AP69" s="303"/>
      <c r="AQ69" s="303"/>
      <c r="AR69" s="303"/>
    </row>
    <row r="70" spans="1:44" s="346" customFormat="1" ht="23.25" customHeight="1">
      <c r="A70" s="304"/>
      <c r="B70" s="329"/>
      <c r="C70" s="329"/>
      <c r="D70" s="329"/>
      <c r="E70" s="329"/>
      <c r="F70" s="329"/>
      <c r="G70" s="329"/>
      <c r="H70" s="329"/>
      <c r="I70" s="328"/>
      <c r="J70" s="328"/>
      <c r="K70" s="328"/>
      <c r="L70" s="328"/>
      <c r="M70" s="328"/>
      <c r="N70" s="328"/>
      <c r="O70" s="328"/>
      <c r="P70" s="328"/>
      <c r="Q70" s="328"/>
      <c r="R70" s="328"/>
      <c r="S70" s="328"/>
      <c r="T70" s="328"/>
      <c r="U70" s="328"/>
      <c r="V70" s="328"/>
      <c r="W70" s="304"/>
      <c r="X70" s="304"/>
      <c r="Y70" s="304"/>
      <c r="Z70" s="304"/>
      <c r="AA70" s="304"/>
      <c r="AB70" s="304"/>
      <c r="AC70" s="304"/>
      <c r="AD70" s="304"/>
      <c r="AE70" s="304"/>
      <c r="AF70" s="304"/>
      <c r="AG70" s="304"/>
      <c r="AH70" s="304"/>
      <c r="AI70" s="304"/>
      <c r="AJ70" s="307"/>
      <c r="AL70" s="303"/>
      <c r="AM70" s="303"/>
      <c r="AN70" s="303"/>
      <c r="AO70" s="303"/>
      <c r="AP70" s="303"/>
      <c r="AQ70" s="303"/>
      <c r="AR70" s="303"/>
    </row>
    <row r="71" spans="1:44" s="346" customFormat="1" ht="23.25" customHeight="1">
      <c r="A71" s="304"/>
      <c r="B71" s="329"/>
      <c r="C71" s="329"/>
      <c r="D71" s="329"/>
      <c r="E71" s="329"/>
      <c r="F71" s="329"/>
      <c r="G71" s="329"/>
      <c r="H71" s="329"/>
      <c r="I71" s="328"/>
      <c r="J71" s="328"/>
      <c r="K71" s="328"/>
      <c r="L71" s="328"/>
      <c r="M71" s="328"/>
      <c r="N71" s="328"/>
      <c r="O71" s="328"/>
      <c r="P71" s="328"/>
      <c r="Q71" s="328"/>
      <c r="R71" s="328"/>
      <c r="S71" s="328"/>
      <c r="T71" s="328"/>
      <c r="U71" s="328"/>
      <c r="V71" s="328"/>
      <c r="W71" s="304"/>
      <c r="X71" s="304"/>
      <c r="Y71" s="304"/>
      <c r="Z71" s="304"/>
      <c r="AA71" s="304"/>
      <c r="AB71" s="304"/>
      <c r="AC71" s="304"/>
      <c r="AD71" s="304"/>
      <c r="AE71" s="304"/>
      <c r="AF71" s="304"/>
      <c r="AG71" s="304"/>
      <c r="AH71" s="304"/>
      <c r="AI71" s="304"/>
      <c r="AJ71" s="307"/>
      <c r="AL71" s="303"/>
      <c r="AM71" s="303"/>
      <c r="AN71" s="303"/>
      <c r="AO71" s="303"/>
      <c r="AP71" s="303"/>
      <c r="AQ71" s="303"/>
      <c r="AR71" s="303"/>
    </row>
    <row r="72" spans="1:44" s="346" customFormat="1" ht="23.25" customHeight="1">
      <c r="A72" s="304"/>
      <c r="B72" s="329"/>
      <c r="C72" s="329"/>
      <c r="D72" s="329"/>
      <c r="E72" s="329"/>
      <c r="F72" s="329"/>
      <c r="G72" s="329"/>
      <c r="H72" s="329"/>
      <c r="I72" s="328"/>
      <c r="J72" s="328"/>
      <c r="K72" s="328"/>
      <c r="L72" s="328"/>
      <c r="M72" s="328"/>
      <c r="N72" s="328"/>
      <c r="O72" s="328"/>
      <c r="P72" s="328"/>
      <c r="Q72" s="328"/>
      <c r="R72" s="328"/>
      <c r="S72" s="328"/>
      <c r="T72" s="328"/>
      <c r="U72" s="328"/>
      <c r="V72" s="328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7"/>
      <c r="AL72" s="303"/>
      <c r="AM72" s="303"/>
      <c r="AN72" s="303"/>
      <c r="AO72" s="303"/>
      <c r="AP72" s="303"/>
      <c r="AQ72" s="303"/>
      <c r="AR72" s="303"/>
    </row>
    <row r="73" spans="1:44" s="346" customFormat="1" ht="23.25" customHeight="1">
      <c r="A73" s="304"/>
      <c r="B73" s="329"/>
      <c r="C73" s="329"/>
      <c r="D73" s="329"/>
      <c r="E73" s="329"/>
      <c r="F73" s="329"/>
      <c r="G73" s="329"/>
      <c r="H73" s="329"/>
      <c r="I73" s="328"/>
      <c r="J73" s="328"/>
      <c r="K73" s="328"/>
      <c r="L73" s="328"/>
      <c r="M73" s="328"/>
      <c r="N73" s="328"/>
      <c r="O73" s="328"/>
      <c r="P73" s="328"/>
      <c r="Q73" s="328"/>
      <c r="R73" s="328"/>
      <c r="S73" s="328"/>
      <c r="T73" s="328"/>
      <c r="U73" s="328"/>
      <c r="V73" s="328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7"/>
      <c r="AL73" s="303"/>
      <c r="AM73" s="303"/>
      <c r="AN73" s="303"/>
      <c r="AO73" s="303"/>
      <c r="AP73" s="303"/>
      <c r="AQ73" s="303"/>
      <c r="AR73" s="303"/>
    </row>
    <row r="74" spans="1:44" s="346" customFormat="1" ht="23.25" customHeight="1">
      <c r="A74" s="304"/>
      <c r="B74" s="329"/>
      <c r="C74" s="329"/>
      <c r="D74" s="329"/>
      <c r="E74" s="329"/>
      <c r="F74" s="329"/>
      <c r="G74" s="329"/>
      <c r="H74" s="329"/>
      <c r="I74" s="328"/>
      <c r="J74" s="328"/>
      <c r="K74" s="328"/>
      <c r="L74" s="328"/>
      <c r="M74" s="328"/>
      <c r="N74" s="328"/>
      <c r="O74" s="328"/>
      <c r="P74" s="328"/>
      <c r="Q74" s="328"/>
      <c r="R74" s="328"/>
      <c r="S74" s="328"/>
      <c r="T74" s="328"/>
      <c r="U74" s="328"/>
      <c r="V74" s="328"/>
      <c r="W74" s="304"/>
      <c r="X74" s="304"/>
      <c r="Y74" s="304"/>
      <c r="Z74" s="304"/>
      <c r="AA74" s="304"/>
      <c r="AB74" s="304"/>
      <c r="AC74" s="304"/>
      <c r="AD74" s="304"/>
      <c r="AE74" s="304"/>
      <c r="AF74" s="304"/>
      <c r="AG74" s="304"/>
      <c r="AH74" s="304"/>
      <c r="AI74" s="304"/>
      <c r="AJ74" s="307"/>
      <c r="AL74" s="303"/>
      <c r="AM74" s="303"/>
      <c r="AN74" s="303"/>
      <c r="AO74" s="303"/>
      <c r="AP74" s="303"/>
      <c r="AQ74" s="303"/>
      <c r="AR74" s="303"/>
    </row>
    <row r="75" spans="1:44" s="346" customFormat="1" ht="23.25" customHeight="1">
      <c r="A75" s="304"/>
      <c r="B75" s="329"/>
      <c r="C75" s="329"/>
      <c r="D75" s="329"/>
      <c r="E75" s="329"/>
      <c r="F75" s="329"/>
      <c r="G75" s="329"/>
      <c r="H75" s="329"/>
      <c r="I75" s="328"/>
      <c r="J75" s="328"/>
      <c r="K75" s="328"/>
      <c r="L75" s="328"/>
      <c r="M75" s="328"/>
      <c r="N75" s="328"/>
      <c r="O75" s="328"/>
      <c r="P75" s="328"/>
      <c r="Q75" s="328"/>
      <c r="R75" s="328"/>
      <c r="S75" s="328"/>
      <c r="T75" s="328"/>
      <c r="U75" s="328"/>
      <c r="V75" s="328"/>
      <c r="W75" s="304"/>
      <c r="X75" s="304"/>
      <c r="Y75" s="304"/>
      <c r="Z75" s="304"/>
      <c r="AA75" s="304"/>
      <c r="AB75" s="304"/>
      <c r="AC75" s="304"/>
      <c r="AD75" s="304"/>
      <c r="AE75" s="304"/>
      <c r="AF75" s="304"/>
      <c r="AG75" s="304"/>
      <c r="AH75" s="304"/>
      <c r="AI75" s="304"/>
      <c r="AJ75" s="307"/>
      <c r="AL75" s="303"/>
      <c r="AM75" s="303"/>
      <c r="AN75" s="303"/>
      <c r="AO75" s="303"/>
      <c r="AP75" s="303"/>
      <c r="AQ75" s="303"/>
      <c r="AR75" s="303"/>
    </row>
    <row r="76" spans="1:44" s="346" customFormat="1" ht="23.25" customHeight="1">
      <c r="A76" s="304"/>
      <c r="G76" s="329"/>
      <c r="H76" s="329"/>
      <c r="I76" s="328"/>
      <c r="J76" s="328"/>
      <c r="K76" s="328"/>
      <c r="L76" s="328"/>
      <c r="M76" s="328"/>
      <c r="N76" s="328"/>
      <c r="O76" s="328"/>
      <c r="P76" s="328"/>
      <c r="Q76" s="328"/>
      <c r="R76" s="328"/>
      <c r="S76" s="328"/>
      <c r="T76" s="328"/>
      <c r="U76" s="328"/>
      <c r="V76" s="328"/>
      <c r="W76" s="304"/>
      <c r="X76" s="304"/>
      <c r="Y76" s="304"/>
      <c r="Z76" s="304"/>
      <c r="AA76" s="304"/>
      <c r="AB76" s="304"/>
      <c r="AC76" s="304"/>
      <c r="AD76" s="304"/>
      <c r="AE76" s="304"/>
      <c r="AF76" s="304"/>
      <c r="AG76" s="304"/>
      <c r="AH76" s="304"/>
      <c r="AI76" s="304"/>
      <c r="AJ76" s="307"/>
      <c r="AL76" s="303"/>
      <c r="AM76" s="303"/>
      <c r="AN76" s="303"/>
      <c r="AO76" s="303"/>
      <c r="AP76" s="303"/>
      <c r="AQ76" s="303"/>
      <c r="AR76" s="303"/>
    </row>
    <row r="77" spans="1:44" s="346" customFormat="1" ht="23.25" customHeight="1">
      <c r="A77" s="304"/>
      <c r="G77" s="329"/>
      <c r="H77" s="329"/>
      <c r="I77" s="328"/>
      <c r="J77" s="328"/>
      <c r="K77" s="328"/>
      <c r="L77" s="328"/>
      <c r="M77" s="328"/>
      <c r="N77" s="328"/>
      <c r="O77" s="328"/>
      <c r="P77" s="328"/>
      <c r="Q77" s="328"/>
      <c r="R77" s="328"/>
      <c r="S77" s="328"/>
      <c r="T77" s="328"/>
      <c r="U77" s="328"/>
      <c r="V77" s="328"/>
      <c r="W77" s="304"/>
      <c r="X77" s="304"/>
      <c r="Y77" s="304"/>
      <c r="Z77" s="304"/>
      <c r="AA77" s="304"/>
      <c r="AB77" s="304"/>
      <c r="AC77" s="304"/>
      <c r="AD77" s="304"/>
      <c r="AE77" s="304"/>
      <c r="AF77" s="304"/>
      <c r="AG77" s="304"/>
      <c r="AH77" s="304"/>
      <c r="AI77" s="304"/>
      <c r="AJ77" s="307"/>
      <c r="AL77" s="303"/>
      <c r="AM77" s="303"/>
      <c r="AN77" s="303"/>
      <c r="AO77" s="303"/>
      <c r="AP77" s="303"/>
      <c r="AQ77" s="303"/>
      <c r="AR77" s="303"/>
    </row>
    <row r="78" spans="1:44" s="346" customFormat="1" ht="23.25" customHeight="1">
      <c r="A78" s="304"/>
      <c r="G78" s="329"/>
      <c r="H78" s="329"/>
      <c r="I78" s="328"/>
      <c r="J78" s="328"/>
      <c r="K78" s="328"/>
      <c r="L78" s="328"/>
      <c r="M78" s="328"/>
      <c r="N78" s="328"/>
      <c r="O78" s="328"/>
      <c r="P78" s="328"/>
      <c r="Q78" s="328"/>
      <c r="R78" s="328"/>
      <c r="S78" s="328"/>
      <c r="T78" s="328"/>
      <c r="U78" s="328"/>
      <c r="V78" s="328"/>
      <c r="W78" s="304"/>
      <c r="X78" s="304"/>
      <c r="Y78" s="304"/>
      <c r="Z78" s="304"/>
      <c r="AA78" s="304"/>
      <c r="AB78" s="304"/>
      <c r="AC78" s="304"/>
      <c r="AD78" s="304"/>
      <c r="AE78" s="304"/>
      <c r="AF78" s="304"/>
      <c r="AG78" s="304"/>
      <c r="AH78" s="304"/>
      <c r="AI78" s="304"/>
      <c r="AJ78" s="307"/>
      <c r="AL78" s="303"/>
      <c r="AM78" s="303"/>
      <c r="AN78" s="303"/>
      <c r="AO78" s="303"/>
      <c r="AP78" s="303"/>
      <c r="AQ78" s="303"/>
      <c r="AR78" s="303"/>
    </row>
    <row r="79" spans="1:44" s="346" customFormat="1" ht="23.25" customHeight="1">
      <c r="A79" s="304"/>
      <c r="G79" s="329"/>
      <c r="H79" s="329"/>
      <c r="I79" s="328"/>
      <c r="J79" s="328"/>
      <c r="K79" s="328"/>
      <c r="L79" s="328"/>
      <c r="M79" s="328"/>
      <c r="N79" s="328"/>
      <c r="O79" s="328"/>
      <c r="P79" s="328"/>
      <c r="Q79" s="328"/>
      <c r="R79" s="328"/>
      <c r="S79" s="328"/>
      <c r="T79" s="328"/>
      <c r="U79" s="328"/>
      <c r="V79" s="328"/>
      <c r="W79" s="304"/>
      <c r="X79" s="304"/>
      <c r="Y79" s="304"/>
      <c r="Z79" s="304"/>
      <c r="AA79" s="304"/>
      <c r="AB79" s="304"/>
      <c r="AC79" s="304"/>
      <c r="AD79" s="304"/>
      <c r="AE79" s="304"/>
      <c r="AF79" s="304"/>
      <c r="AG79" s="304"/>
      <c r="AH79" s="304"/>
      <c r="AI79" s="304"/>
      <c r="AJ79" s="307"/>
      <c r="AL79" s="303"/>
      <c r="AM79" s="303"/>
      <c r="AN79" s="303"/>
      <c r="AO79" s="303"/>
      <c r="AP79" s="303"/>
      <c r="AQ79" s="303"/>
      <c r="AR79" s="303"/>
    </row>
    <row r="80" spans="1:44" s="346" customFormat="1" ht="23.25" customHeight="1">
      <c r="A80" s="304"/>
      <c r="G80" s="329"/>
      <c r="H80" s="329"/>
      <c r="I80" s="328"/>
      <c r="J80" s="328"/>
      <c r="K80" s="328"/>
      <c r="L80" s="328"/>
      <c r="M80" s="328"/>
      <c r="N80" s="328"/>
      <c r="O80" s="328"/>
      <c r="P80" s="328"/>
      <c r="Q80" s="328"/>
      <c r="R80" s="328"/>
      <c r="S80" s="328"/>
      <c r="T80" s="328"/>
      <c r="U80" s="328"/>
      <c r="V80" s="328"/>
      <c r="W80" s="304"/>
      <c r="X80" s="304"/>
      <c r="Y80" s="304"/>
      <c r="Z80" s="304"/>
      <c r="AA80" s="304"/>
      <c r="AB80" s="304"/>
      <c r="AC80" s="304"/>
      <c r="AD80" s="304"/>
      <c r="AE80" s="304"/>
      <c r="AF80" s="304"/>
      <c r="AG80" s="304"/>
      <c r="AH80" s="304"/>
      <c r="AI80" s="304"/>
      <c r="AJ80" s="307"/>
      <c r="AL80" s="303"/>
      <c r="AM80" s="303"/>
      <c r="AN80" s="303"/>
      <c r="AO80" s="303"/>
      <c r="AP80" s="303"/>
      <c r="AQ80" s="303"/>
      <c r="AR80" s="303"/>
    </row>
    <row r="81" spans="1:44" s="346" customFormat="1" ht="23.25" customHeight="1">
      <c r="A81" s="304"/>
      <c r="G81" s="329"/>
      <c r="H81" s="329"/>
      <c r="I81" s="328"/>
      <c r="J81" s="328"/>
      <c r="K81" s="328"/>
      <c r="L81" s="328"/>
      <c r="M81" s="328"/>
      <c r="N81" s="328"/>
      <c r="O81" s="328"/>
      <c r="P81" s="328"/>
      <c r="Q81" s="328"/>
      <c r="R81" s="328"/>
      <c r="S81" s="328"/>
      <c r="T81" s="328"/>
      <c r="U81" s="328"/>
      <c r="V81" s="328"/>
      <c r="W81" s="304"/>
      <c r="X81" s="304"/>
      <c r="Y81" s="304"/>
      <c r="Z81" s="304"/>
      <c r="AA81" s="304"/>
      <c r="AB81" s="304"/>
      <c r="AC81" s="304"/>
      <c r="AD81" s="304"/>
      <c r="AE81" s="304"/>
      <c r="AF81" s="304"/>
      <c r="AG81" s="304"/>
      <c r="AH81" s="304"/>
      <c r="AI81" s="304"/>
      <c r="AJ81" s="307"/>
      <c r="AL81" s="303"/>
      <c r="AM81" s="303"/>
      <c r="AN81" s="303"/>
      <c r="AO81" s="303"/>
      <c r="AP81" s="303"/>
      <c r="AQ81" s="303"/>
      <c r="AR81" s="303"/>
    </row>
    <row r="82" spans="1:44" s="346" customFormat="1" ht="23.25" customHeight="1">
      <c r="A82" s="304"/>
      <c r="G82" s="329"/>
      <c r="H82" s="329"/>
      <c r="I82" s="328"/>
      <c r="J82" s="328"/>
      <c r="K82" s="328"/>
      <c r="L82" s="328"/>
      <c r="M82" s="328"/>
      <c r="N82" s="328"/>
      <c r="O82" s="328"/>
      <c r="P82" s="328"/>
      <c r="Q82" s="328"/>
      <c r="R82" s="328"/>
      <c r="S82" s="328"/>
      <c r="T82" s="328"/>
      <c r="U82" s="328"/>
      <c r="V82" s="328"/>
      <c r="W82" s="304"/>
      <c r="X82" s="304"/>
      <c r="Y82" s="304"/>
      <c r="Z82" s="304"/>
      <c r="AA82" s="304"/>
      <c r="AB82" s="304"/>
      <c r="AC82" s="304"/>
      <c r="AD82" s="304"/>
      <c r="AE82" s="304"/>
      <c r="AF82" s="304"/>
      <c r="AG82" s="304"/>
      <c r="AH82" s="304"/>
      <c r="AI82" s="304"/>
      <c r="AJ82" s="307"/>
      <c r="AL82" s="303"/>
      <c r="AM82" s="303"/>
      <c r="AN82" s="303"/>
      <c r="AO82" s="303"/>
      <c r="AP82" s="303"/>
      <c r="AQ82" s="303"/>
      <c r="AR82" s="303"/>
    </row>
    <row r="83" spans="1:44" s="346" customFormat="1" ht="23.25" customHeight="1">
      <c r="A83" s="304"/>
      <c r="G83" s="329"/>
      <c r="H83" s="329"/>
      <c r="I83" s="328"/>
      <c r="J83" s="328"/>
      <c r="K83" s="328"/>
      <c r="L83" s="328"/>
      <c r="M83" s="328"/>
      <c r="N83" s="328"/>
      <c r="O83" s="328"/>
      <c r="P83" s="328"/>
      <c r="Q83" s="328"/>
      <c r="R83" s="328"/>
      <c r="S83" s="328"/>
      <c r="T83" s="328"/>
      <c r="U83" s="328"/>
      <c r="V83" s="328"/>
      <c r="W83" s="304"/>
      <c r="X83" s="304"/>
      <c r="Y83" s="304"/>
      <c r="Z83" s="304"/>
      <c r="AA83" s="304"/>
      <c r="AB83" s="304"/>
      <c r="AC83" s="304"/>
      <c r="AD83" s="304"/>
      <c r="AE83" s="304"/>
      <c r="AF83" s="304"/>
      <c r="AG83" s="304"/>
      <c r="AH83" s="304"/>
      <c r="AI83" s="304"/>
      <c r="AJ83" s="307"/>
      <c r="AL83" s="303"/>
      <c r="AM83" s="303"/>
      <c r="AN83" s="303"/>
      <c r="AO83" s="303"/>
      <c r="AP83" s="303"/>
      <c r="AQ83" s="303"/>
      <c r="AR83" s="303"/>
    </row>
    <row r="84" spans="1:44" s="346" customFormat="1" ht="23.25" customHeight="1">
      <c r="A84" s="304"/>
      <c r="G84" s="329"/>
      <c r="H84" s="329"/>
      <c r="I84" s="328"/>
      <c r="J84" s="328"/>
      <c r="K84" s="328"/>
      <c r="L84" s="328"/>
      <c r="M84" s="328"/>
      <c r="N84" s="328"/>
      <c r="O84" s="328"/>
      <c r="P84" s="328"/>
      <c r="Q84" s="328"/>
      <c r="R84" s="328"/>
      <c r="S84" s="328"/>
      <c r="T84" s="328"/>
      <c r="U84" s="328"/>
      <c r="V84" s="328"/>
      <c r="W84" s="304"/>
      <c r="X84" s="304"/>
      <c r="Y84" s="304"/>
      <c r="Z84" s="304"/>
      <c r="AA84" s="304"/>
      <c r="AB84" s="304"/>
      <c r="AC84" s="304"/>
      <c r="AD84" s="304"/>
      <c r="AE84" s="304"/>
      <c r="AF84" s="304"/>
      <c r="AG84" s="304"/>
      <c r="AH84" s="304"/>
      <c r="AI84" s="304"/>
      <c r="AJ84" s="307"/>
      <c r="AL84" s="303"/>
      <c r="AM84" s="303"/>
      <c r="AN84" s="303"/>
      <c r="AO84" s="303"/>
      <c r="AP84" s="303"/>
      <c r="AQ84" s="303"/>
      <c r="AR84" s="303"/>
    </row>
    <row r="85" spans="1:44" s="346" customFormat="1" ht="23.25" customHeight="1">
      <c r="A85" s="304"/>
      <c r="G85" s="329"/>
      <c r="H85" s="329"/>
      <c r="I85" s="328"/>
      <c r="J85" s="328"/>
      <c r="K85" s="328"/>
      <c r="L85" s="328"/>
      <c r="M85" s="328"/>
      <c r="N85" s="328"/>
      <c r="O85" s="328"/>
      <c r="P85" s="328"/>
      <c r="Q85" s="328"/>
      <c r="R85" s="328"/>
      <c r="S85" s="328"/>
      <c r="T85" s="328"/>
      <c r="U85" s="328"/>
      <c r="V85" s="328"/>
      <c r="W85" s="304"/>
      <c r="X85" s="304"/>
      <c r="Y85" s="304"/>
      <c r="Z85" s="304"/>
      <c r="AA85" s="304"/>
      <c r="AB85" s="304"/>
      <c r="AC85" s="304"/>
      <c r="AD85" s="304"/>
      <c r="AE85" s="304"/>
      <c r="AF85" s="304"/>
      <c r="AG85" s="304"/>
      <c r="AH85" s="304"/>
      <c r="AI85" s="304"/>
      <c r="AJ85" s="307"/>
      <c r="AL85" s="303"/>
      <c r="AM85" s="303"/>
      <c r="AN85" s="303"/>
      <c r="AO85" s="303"/>
      <c r="AP85" s="303"/>
      <c r="AQ85" s="303"/>
      <c r="AR85" s="303"/>
    </row>
    <row r="86" spans="1:44" s="346" customFormat="1" ht="23.25" customHeight="1">
      <c r="A86" s="304"/>
      <c r="G86" s="329"/>
      <c r="H86" s="329"/>
      <c r="I86" s="328"/>
      <c r="J86" s="328"/>
      <c r="K86" s="328"/>
      <c r="L86" s="328"/>
      <c r="M86" s="328"/>
      <c r="N86" s="328"/>
      <c r="O86" s="328"/>
      <c r="P86" s="328"/>
      <c r="Q86" s="328"/>
      <c r="R86" s="328"/>
      <c r="S86" s="328"/>
      <c r="T86" s="328"/>
      <c r="U86" s="328"/>
      <c r="V86" s="328"/>
      <c r="W86" s="304"/>
      <c r="X86" s="304"/>
      <c r="Y86" s="304"/>
      <c r="Z86" s="304"/>
      <c r="AA86" s="304"/>
      <c r="AB86" s="304"/>
      <c r="AC86" s="304"/>
      <c r="AD86" s="304"/>
      <c r="AE86" s="304"/>
      <c r="AF86" s="304"/>
      <c r="AG86" s="304"/>
      <c r="AH86" s="304"/>
      <c r="AI86" s="304"/>
      <c r="AJ86" s="307"/>
      <c r="AL86" s="303"/>
      <c r="AM86" s="303"/>
      <c r="AN86" s="303"/>
      <c r="AO86" s="303"/>
      <c r="AP86" s="303"/>
      <c r="AQ86" s="303"/>
      <c r="AR86" s="303"/>
    </row>
    <row r="87" spans="1:44" s="346" customFormat="1" ht="23.25" customHeight="1">
      <c r="A87" s="304"/>
      <c r="G87" s="329"/>
      <c r="H87" s="329"/>
      <c r="I87" s="328"/>
      <c r="J87" s="328"/>
      <c r="K87" s="328"/>
      <c r="L87" s="328"/>
      <c r="M87" s="328"/>
      <c r="N87" s="328"/>
      <c r="O87" s="328"/>
      <c r="P87" s="328"/>
      <c r="Q87" s="328"/>
      <c r="R87" s="328"/>
      <c r="S87" s="328"/>
      <c r="T87" s="328"/>
      <c r="U87" s="328"/>
      <c r="V87" s="328"/>
      <c r="W87" s="304"/>
      <c r="X87" s="304"/>
      <c r="Y87" s="304"/>
      <c r="Z87" s="304"/>
      <c r="AA87" s="304"/>
      <c r="AB87" s="304"/>
      <c r="AC87" s="304"/>
      <c r="AD87" s="304"/>
      <c r="AE87" s="304"/>
      <c r="AF87" s="304"/>
      <c r="AG87" s="304"/>
      <c r="AH87" s="304"/>
      <c r="AI87" s="304"/>
      <c r="AJ87" s="307"/>
      <c r="AL87" s="303"/>
      <c r="AM87" s="303"/>
      <c r="AN87" s="303"/>
      <c r="AO87" s="303"/>
      <c r="AP87" s="303"/>
      <c r="AQ87" s="303"/>
      <c r="AR87" s="303"/>
    </row>
    <row r="88" spans="1:44" s="346" customFormat="1" ht="23.25" customHeight="1">
      <c r="A88" s="304"/>
      <c r="G88" s="329"/>
      <c r="H88" s="329"/>
      <c r="I88" s="328"/>
      <c r="J88" s="328"/>
      <c r="K88" s="328"/>
      <c r="L88" s="328"/>
      <c r="M88" s="328"/>
      <c r="N88" s="328"/>
      <c r="O88" s="328"/>
      <c r="P88" s="328"/>
      <c r="Q88" s="328"/>
      <c r="R88" s="328"/>
      <c r="S88" s="328"/>
      <c r="T88" s="328"/>
      <c r="U88" s="328"/>
      <c r="V88" s="328"/>
      <c r="W88" s="304"/>
      <c r="X88" s="304"/>
      <c r="Y88" s="304"/>
      <c r="Z88" s="304"/>
      <c r="AA88" s="304"/>
      <c r="AB88" s="304"/>
      <c r="AC88" s="304"/>
      <c r="AD88" s="304"/>
      <c r="AE88" s="304"/>
      <c r="AF88" s="304"/>
      <c r="AG88" s="304"/>
      <c r="AH88" s="304"/>
      <c r="AI88" s="304"/>
      <c r="AJ88" s="307"/>
      <c r="AL88" s="303"/>
      <c r="AM88" s="303"/>
      <c r="AN88" s="303"/>
      <c r="AO88" s="303"/>
      <c r="AP88" s="303"/>
      <c r="AQ88" s="303"/>
      <c r="AR88" s="303"/>
    </row>
    <row r="89" spans="1:44" s="346" customFormat="1" ht="23.25" customHeight="1">
      <c r="A89" s="304"/>
      <c r="G89" s="329"/>
      <c r="H89" s="329"/>
      <c r="I89" s="328"/>
      <c r="J89" s="328"/>
      <c r="K89" s="328"/>
      <c r="L89" s="328"/>
      <c r="M89" s="328"/>
      <c r="N89" s="328"/>
      <c r="O89" s="328"/>
      <c r="P89" s="328"/>
      <c r="Q89" s="328"/>
      <c r="R89" s="328"/>
      <c r="S89" s="328"/>
      <c r="T89" s="328"/>
      <c r="U89" s="328"/>
      <c r="V89" s="328"/>
      <c r="W89" s="304"/>
      <c r="X89" s="304"/>
      <c r="Y89" s="304"/>
      <c r="Z89" s="304"/>
      <c r="AA89" s="304"/>
      <c r="AB89" s="304"/>
      <c r="AC89" s="304"/>
      <c r="AD89" s="304"/>
      <c r="AE89" s="304"/>
      <c r="AF89" s="304"/>
      <c r="AG89" s="304"/>
      <c r="AH89" s="304"/>
      <c r="AI89" s="304"/>
      <c r="AJ89" s="307"/>
      <c r="AL89" s="303"/>
      <c r="AM89" s="303"/>
      <c r="AN89" s="303"/>
      <c r="AO89" s="303"/>
      <c r="AP89" s="303"/>
      <c r="AQ89" s="303"/>
      <c r="AR89" s="303"/>
    </row>
    <row r="90" spans="1:44" s="346" customFormat="1" ht="23.25" customHeight="1">
      <c r="A90" s="304"/>
      <c r="G90" s="329"/>
      <c r="H90" s="329"/>
      <c r="I90" s="328"/>
      <c r="J90" s="328"/>
      <c r="K90" s="328"/>
      <c r="L90" s="328"/>
      <c r="M90" s="328"/>
      <c r="N90" s="328"/>
      <c r="O90" s="328"/>
      <c r="P90" s="328"/>
      <c r="Q90" s="328"/>
      <c r="R90" s="328"/>
      <c r="S90" s="328"/>
      <c r="T90" s="328"/>
      <c r="U90" s="328"/>
      <c r="V90" s="328"/>
      <c r="W90" s="304"/>
      <c r="X90" s="304"/>
      <c r="Y90" s="304"/>
      <c r="Z90" s="304"/>
      <c r="AA90" s="304"/>
      <c r="AB90" s="304"/>
      <c r="AC90" s="304"/>
      <c r="AD90" s="304"/>
      <c r="AE90" s="304"/>
      <c r="AF90" s="304"/>
      <c r="AG90" s="304"/>
      <c r="AH90" s="304"/>
      <c r="AI90" s="304"/>
      <c r="AJ90" s="307"/>
      <c r="AL90" s="303"/>
      <c r="AM90" s="303"/>
      <c r="AN90" s="303"/>
      <c r="AO90" s="303"/>
      <c r="AP90" s="303"/>
      <c r="AQ90" s="303"/>
      <c r="AR90" s="303"/>
    </row>
    <row r="91" spans="1:44" s="346" customFormat="1" ht="23.25" customHeight="1">
      <c r="A91" s="304"/>
      <c r="G91" s="329"/>
      <c r="H91" s="329"/>
      <c r="I91" s="328"/>
      <c r="J91" s="328"/>
      <c r="K91" s="328"/>
      <c r="L91" s="328"/>
      <c r="M91" s="328"/>
      <c r="N91" s="328"/>
      <c r="O91" s="328"/>
      <c r="P91" s="328"/>
      <c r="Q91" s="328"/>
      <c r="R91" s="328"/>
      <c r="S91" s="328"/>
      <c r="T91" s="328"/>
      <c r="U91" s="328"/>
      <c r="V91" s="328"/>
      <c r="W91" s="304"/>
      <c r="X91" s="304"/>
      <c r="Y91" s="304"/>
      <c r="Z91" s="304"/>
      <c r="AA91" s="304"/>
      <c r="AB91" s="304"/>
      <c r="AC91" s="304"/>
      <c r="AD91" s="304"/>
      <c r="AE91" s="304"/>
      <c r="AF91" s="304"/>
      <c r="AG91" s="304"/>
      <c r="AH91" s="304"/>
      <c r="AI91" s="304"/>
      <c r="AJ91" s="307"/>
      <c r="AL91" s="303"/>
      <c r="AM91" s="303"/>
      <c r="AN91" s="303"/>
      <c r="AO91" s="303"/>
      <c r="AP91" s="303"/>
      <c r="AQ91" s="303"/>
      <c r="AR91" s="303"/>
    </row>
    <row r="92" spans="1:44" s="346" customFormat="1" ht="23.25" customHeight="1">
      <c r="A92" s="304"/>
      <c r="G92" s="329"/>
      <c r="H92" s="329"/>
      <c r="I92" s="328"/>
      <c r="J92" s="328"/>
      <c r="K92" s="328"/>
      <c r="L92" s="328"/>
      <c r="M92" s="328"/>
      <c r="N92" s="328"/>
      <c r="O92" s="328"/>
      <c r="P92" s="328"/>
      <c r="Q92" s="328"/>
      <c r="R92" s="328"/>
      <c r="S92" s="328"/>
      <c r="T92" s="328"/>
      <c r="U92" s="328"/>
      <c r="V92" s="328"/>
      <c r="W92" s="304"/>
      <c r="X92" s="304"/>
      <c r="Y92" s="304"/>
      <c r="Z92" s="304"/>
      <c r="AA92" s="304"/>
      <c r="AB92" s="304"/>
      <c r="AC92" s="304"/>
      <c r="AD92" s="304"/>
      <c r="AE92" s="304"/>
      <c r="AF92" s="304"/>
      <c r="AG92" s="304"/>
      <c r="AH92" s="304"/>
      <c r="AI92" s="304"/>
      <c r="AJ92" s="307"/>
      <c r="AL92" s="303"/>
      <c r="AM92" s="303"/>
      <c r="AN92" s="303"/>
      <c r="AO92" s="303"/>
      <c r="AP92" s="303"/>
      <c r="AQ92" s="303"/>
      <c r="AR92" s="303"/>
    </row>
    <row r="93" spans="1:44" s="346" customFormat="1" ht="23.25" customHeight="1">
      <c r="A93" s="304"/>
      <c r="G93" s="329"/>
      <c r="H93" s="329"/>
      <c r="I93" s="328"/>
      <c r="J93" s="328"/>
      <c r="K93" s="328"/>
      <c r="L93" s="328"/>
      <c r="M93" s="328"/>
      <c r="N93" s="328"/>
      <c r="O93" s="328"/>
      <c r="P93" s="328"/>
      <c r="Q93" s="328"/>
      <c r="R93" s="328"/>
      <c r="S93" s="328"/>
      <c r="T93" s="328"/>
      <c r="U93" s="328"/>
      <c r="V93" s="328"/>
      <c r="W93" s="304"/>
      <c r="X93" s="304"/>
      <c r="Y93" s="304"/>
      <c r="Z93" s="304"/>
      <c r="AA93" s="304"/>
      <c r="AB93" s="304"/>
      <c r="AC93" s="304"/>
      <c r="AD93" s="304"/>
      <c r="AE93" s="304"/>
      <c r="AF93" s="304"/>
      <c r="AG93" s="304"/>
      <c r="AH93" s="304"/>
      <c r="AI93" s="304"/>
      <c r="AJ93" s="307"/>
      <c r="AL93" s="303"/>
      <c r="AM93" s="303"/>
      <c r="AN93" s="303"/>
      <c r="AO93" s="303"/>
      <c r="AP93" s="303"/>
      <c r="AQ93" s="303"/>
      <c r="AR93" s="303"/>
    </row>
    <row r="94" spans="1:44" s="346" customFormat="1" ht="23.25" customHeight="1">
      <c r="A94" s="304"/>
      <c r="G94" s="329"/>
      <c r="H94" s="329"/>
      <c r="I94" s="328"/>
      <c r="J94" s="328"/>
      <c r="K94" s="328"/>
      <c r="L94" s="328"/>
      <c r="M94" s="328"/>
      <c r="N94" s="328"/>
      <c r="O94" s="328"/>
      <c r="P94" s="328"/>
      <c r="Q94" s="328"/>
      <c r="R94" s="328"/>
      <c r="S94" s="328"/>
      <c r="T94" s="328"/>
      <c r="U94" s="328"/>
      <c r="V94" s="328"/>
      <c r="W94" s="304"/>
      <c r="X94" s="304"/>
      <c r="Y94" s="304"/>
      <c r="Z94" s="304"/>
      <c r="AA94" s="304"/>
      <c r="AB94" s="304"/>
      <c r="AC94" s="304"/>
      <c r="AD94" s="304"/>
      <c r="AE94" s="304"/>
      <c r="AF94" s="304"/>
      <c r="AG94" s="304"/>
      <c r="AH94" s="304"/>
      <c r="AI94" s="304"/>
      <c r="AJ94" s="307"/>
      <c r="AL94" s="303"/>
      <c r="AM94" s="303"/>
      <c r="AN94" s="303"/>
      <c r="AO94" s="303"/>
      <c r="AP94" s="303"/>
      <c r="AQ94" s="303"/>
      <c r="AR94" s="303"/>
    </row>
    <row r="95" spans="1:44" s="346" customFormat="1" ht="23.25" customHeight="1">
      <c r="A95" s="304"/>
      <c r="G95" s="329"/>
      <c r="H95" s="329"/>
      <c r="I95" s="328"/>
      <c r="J95" s="328"/>
      <c r="K95" s="328"/>
      <c r="L95" s="328"/>
      <c r="M95" s="328"/>
      <c r="N95" s="328"/>
      <c r="O95" s="328"/>
      <c r="P95" s="328"/>
      <c r="Q95" s="328"/>
      <c r="R95" s="328"/>
      <c r="S95" s="328"/>
      <c r="T95" s="328"/>
      <c r="U95" s="328"/>
      <c r="V95" s="328"/>
      <c r="W95" s="304"/>
      <c r="X95" s="304"/>
      <c r="Y95" s="304"/>
      <c r="Z95" s="304"/>
      <c r="AA95" s="304"/>
      <c r="AB95" s="304"/>
      <c r="AC95" s="304"/>
      <c r="AD95" s="304"/>
      <c r="AE95" s="304"/>
      <c r="AF95" s="304"/>
      <c r="AG95" s="304"/>
      <c r="AH95" s="304"/>
      <c r="AI95" s="304"/>
      <c r="AJ95" s="307"/>
      <c r="AL95" s="303"/>
      <c r="AM95" s="303"/>
      <c r="AN95" s="303"/>
      <c r="AO95" s="303"/>
      <c r="AP95" s="303"/>
      <c r="AQ95" s="303"/>
      <c r="AR95" s="303"/>
    </row>
    <row r="96" spans="1:44" s="346" customFormat="1" ht="23.25" customHeight="1">
      <c r="A96" s="304"/>
      <c r="G96" s="329"/>
      <c r="H96" s="329"/>
      <c r="I96" s="328"/>
      <c r="J96" s="328"/>
      <c r="K96" s="328"/>
      <c r="L96" s="328"/>
      <c r="M96" s="328"/>
      <c r="N96" s="328"/>
      <c r="O96" s="328"/>
      <c r="P96" s="328"/>
      <c r="Q96" s="328"/>
      <c r="R96" s="328"/>
      <c r="S96" s="328"/>
      <c r="T96" s="328"/>
      <c r="U96" s="328"/>
      <c r="V96" s="328"/>
      <c r="W96" s="304"/>
      <c r="X96" s="304"/>
      <c r="Y96" s="304"/>
      <c r="Z96" s="304"/>
      <c r="AA96" s="304"/>
      <c r="AB96" s="304"/>
      <c r="AC96" s="304"/>
      <c r="AD96" s="304"/>
      <c r="AE96" s="304"/>
      <c r="AF96" s="304"/>
      <c r="AG96" s="304"/>
      <c r="AH96" s="304"/>
      <c r="AI96" s="304"/>
      <c r="AJ96" s="307"/>
      <c r="AL96" s="303"/>
      <c r="AM96" s="303"/>
      <c r="AN96" s="303"/>
      <c r="AO96" s="303"/>
      <c r="AP96" s="303"/>
      <c r="AQ96" s="303"/>
      <c r="AR96" s="303"/>
    </row>
    <row r="97" spans="1:44" s="346" customFormat="1" ht="23.25" customHeight="1">
      <c r="A97" s="304"/>
      <c r="G97" s="329"/>
      <c r="H97" s="329"/>
      <c r="I97" s="328"/>
      <c r="J97" s="328"/>
      <c r="K97" s="328"/>
      <c r="L97" s="328"/>
      <c r="M97" s="328"/>
      <c r="N97" s="328"/>
      <c r="O97" s="328"/>
      <c r="P97" s="328"/>
      <c r="Q97" s="328"/>
      <c r="R97" s="328"/>
      <c r="S97" s="328"/>
      <c r="T97" s="328"/>
      <c r="U97" s="328"/>
      <c r="V97" s="328"/>
      <c r="W97" s="304"/>
      <c r="X97" s="304"/>
      <c r="Y97" s="304"/>
      <c r="Z97" s="304"/>
      <c r="AA97" s="304"/>
      <c r="AB97" s="304"/>
      <c r="AC97" s="304"/>
      <c r="AD97" s="304"/>
      <c r="AE97" s="304"/>
      <c r="AF97" s="304"/>
      <c r="AG97" s="304"/>
      <c r="AH97" s="304"/>
      <c r="AI97" s="304"/>
      <c r="AJ97" s="307"/>
      <c r="AL97" s="303"/>
      <c r="AM97" s="303"/>
      <c r="AN97" s="303"/>
      <c r="AO97" s="303"/>
      <c r="AP97" s="303"/>
      <c r="AQ97" s="303"/>
      <c r="AR97" s="303"/>
    </row>
    <row r="98" spans="1:44" s="346" customFormat="1" ht="23.25" customHeight="1">
      <c r="A98" s="304"/>
      <c r="G98" s="329"/>
      <c r="H98" s="329"/>
      <c r="I98" s="328"/>
      <c r="J98" s="328"/>
      <c r="K98" s="328"/>
      <c r="L98" s="328"/>
      <c r="M98" s="328"/>
      <c r="N98" s="328"/>
      <c r="O98" s="328"/>
      <c r="P98" s="328"/>
      <c r="Q98" s="328"/>
      <c r="R98" s="328"/>
      <c r="S98" s="328"/>
      <c r="T98" s="328"/>
      <c r="U98" s="328"/>
      <c r="V98" s="328"/>
      <c r="W98" s="304"/>
      <c r="X98" s="304"/>
      <c r="Y98" s="304"/>
      <c r="Z98" s="304"/>
      <c r="AA98" s="304"/>
      <c r="AB98" s="304"/>
      <c r="AC98" s="304"/>
      <c r="AD98" s="304"/>
      <c r="AE98" s="304"/>
      <c r="AF98" s="304"/>
      <c r="AG98" s="304"/>
      <c r="AH98" s="304"/>
      <c r="AI98" s="304"/>
      <c r="AJ98" s="307"/>
      <c r="AL98" s="303"/>
      <c r="AM98" s="303"/>
      <c r="AN98" s="303"/>
      <c r="AO98" s="303"/>
      <c r="AP98" s="303"/>
      <c r="AQ98" s="303"/>
      <c r="AR98" s="303"/>
    </row>
    <row r="99" spans="1:44" s="346" customFormat="1" ht="23.25" customHeight="1">
      <c r="A99" s="304"/>
      <c r="G99" s="329"/>
      <c r="H99" s="329"/>
      <c r="I99" s="328"/>
      <c r="J99" s="328"/>
      <c r="K99" s="328"/>
      <c r="L99" s="328"/>
      <c r="M99" s="328"/>
      <c r="N99" s="328"/>
      <c r="O99" s="328"/>
      <c r="P99" s="328"/>
      <c r="Q99" s="328"/>
      <c r="R99" s="328"/>
      <c r="S99" s="328"/>
      <c r="T99" s="328"/>
      <c r="U99" s="328"/>
      <c r="V99" s="328"/>
      <c r="W99" s="304"/>
      <c r="X99" s="304"/>
      <c r="Y99" s="304"/>
      <c r="Z99" s="304"/>
      <c r="AA99" s="304"/>
      <c r="AB99" s="304"/>
      <c r="AC99" s="304"/>
      <c r="AD99" s="304"/>
      <c r="AE99" s="304"/>
      <c r="AF99" s="304"/>
      <c r="AG99" s="304"/>
      <c r="AH99" s="304"/>
      <c r="AI99" s="304"/>
      <c r="AJ99" s="307"/>
      <c r="AL99" s="303"/>
      <c r="AM99" s="303"/>
      <c r="AN99" s="303"/>
      <c r="AO99" s="303"/>
      <c r="AP99" s="303"/>
      <c r="AQ99" s="303"/>
      <c r="AR99" s="303"/>
    </row>
    <row r="100" spans="1:44" s="346" customFormat="1" ht="23.25" customHeight="1">
      <c r="A100" s="304"/>
      <c r="G100" s="329"/>
      <c r="H100" s="329"/>
      <c r="I100" s="328"/>
      <c r="J100" s="328"/>
      <c r="K100" s="328"/>
      <c r="L100" s="328"/>
      <c r="M100" s="328"/>
      <c r="N100" s="328"/>
      <c r="O100" s="328"/>
      <c r="P100" s="328"/>
      <c r="Q100" s="328"/>
      <c r="R100" s="328"/>
      <c r="S100" s="328"/>
      <c r="T100" s="328"/>
      <c r="U100" s="328"/>
      <c r="V100" s="328"/>
      <c r="W100" s="304"/>
      <c r="X100" s="304"/>
      <c r="Y100" s="304"/>
      <c r="Z100" s="304"/>
      <c r="AA100" s="304"/>
      <c r="AB100" s="304"/>
      <c r="AC100" s="304"/>
      <c r="AD100" s="304"/>
      <c r="AE100" s="304"/>
      <c r="AF100" s="304"/>
      <c r="AG100" s="304"/>
      <c r="AH100" s="304"/>
      <c r="AI100" s="304"/>
      <c r="AJ100" s="307"/>
      <c r="AL100" s="303"/>
      <c r="AM100" s="303"/>
      <c r="AN100" s="303"/>
      <c r="AO100" s="303"/>
      <c r="AP100" s="303"/>
      <c r="AQ100" s="303"/>
      <c r="AR100" s="303"/>
    </row>
    <row r="101" spans="1:44" s="346" customFormat="1" ht="23.25" customHeight="1">
      <c r="A101" s="304"/>
      <c r="G101" s="329"/>
      <c r="H101" s="329"/>
      <c r="I101" s="328"/>
      <c r="J101" s="328"/>
      <c r="K101" s="328"/>
      <c r="L101" s="328"/>
      <c r="M101" s="328"/>
      <c r="N101" s="328"/>
      <c r="O101" s="328"/>
      <c r="P101" s="328"/>
      <c r="Q101" s="328"/>
      <c r="R101" s="328"/>
      <c r="S101" s="328"/>
      <c r="T101" s="328"/>
      <c r="U101" s="328"/>
      <c r="V101" s="328"/>
      <c r="W101" s="304"/>
      <c r="X101" s="304"/>
      <c r="Y101" s="304"/>
      <c r="Z101" s="304"/>
      <c r="AA101" s="304"/>
      <c r="AB101" s="304"/>
      <c r="AC101" s="304"/>
      <c r="AD101" s="304"/>
      <c r="AE101" s="304"/>
      <c r="AF101" s="304"/>
      <c r="AG101" s="304"/>
      <c r="AH101" s="304"/>
      <c r="AI101" s="304"/>
      <c r="AJ101" s="307"/>
      <c r="AL101" s="303"/>
      <c r="AM101" s="303"/>
      <c r="AN101" s="303"/>
      <c r="AO101" s="303"/>
      <c r="AP101" s="303"/>
      <c r="AQ101" s="303"/>
      <c r="AR101" s="303"/>
    </row>
    <row r="102" spans="1:44" s="346" customFormat="1" ht="23.25" customHeight="1">
      <c r="A102" s="304"/>
      <c r="B102" s="329"/>
      <c r="C102" s="329"/>
      <c r="D102" s="329"/>
      <c r="E102" s="329"/>
      <c r="F102" s="329"/>
      <c r="G102" s="329"/>
      <c r="H102" s="329"/>
      <c r="I102" s="328"/>
      <c r="J102" s="328"/>
      <c r="K102" s="328"/>
      <c r="L102" s="328"/>
      <c r="M102" s="328"/>
      <c r="N102" s="328"/>
      <c r="O102" s="328"/>
      <c r="P102" s="328"/>
      <c r="Q102" s="328"/>
      <c r="R102" s="328"/>
      <c r="S102" s="328"/>
      <c r="T102" s="328"/>
      <c r="U102" s="328"/>
      <c r="V102" s="328"/>
      <c r="W102" s="304"/>
      <c r="X102" s="304"/>
      <c r="Y102" s="304"/>
      <c r="Z102" s="304"/>
      <c r="AA102" s="304"/>
      <c r="AB102" s="304"/>
      <c r="AC102" s="304"/>
      <c r="AD102" s="304"/>
      <c r="AE102" s="304"/>
      <c r="AF102" s="304"/>
      <c r="AG102" s="304"/>
      <c r="AH102" s="304"/>
      <c r="AI102" s="304"/>
      <c r="AJ102" s="307"/>
      <c r="AL102" s="303"/>
      <c r="AM102" s="303"/>
      <c r="AN102" s="303"/>
      <c r="AO102" s="303"/>
      <c r="AP102" s="303"/>
      <c r="AQ102" s="303"/>
      <c r="AR102" s="303"/>
    </row>
    <row r="103" spans="1:44" s="346" customFormat="1" ht="23.25" customHeight="1">
      <c r="A103" s="304"/>
      <c r="B103" s="329"/>
      <c r="C103" s="329"/>
      <c r="D103" s="329"/>
      <c r="E103" s="329"/>
      <c r="F103" s="329"/>
      <c r="G103" s="329"/>
      <c r="H103" s="329"/>
      <c r="I103" s="328"/>
      <c r="J103" s="328"/>
      <c r="K103" s="328"/>
      <c r="L103" s="328"/>
      <c r="M103" s="328"/>
      <c r="N103" s="328"/>
      <c r="O103" s="328"/>
      <c r="P103" s="328"/>
      <c r="Q103" s="328"/>
      <c r="R103" s="328"/>
      <c r="S103" s="328"/>
      <c r="T103" s="328"/>
      <c r="U103" s="328"/>
      <c r="V103" s="328"/>
      <c r="W103" s="304"/>
      <c r="X103" s="304"/>
      <c r="Y103" s="304"/>
      <c r="Z103" s="304"/>
      <c r="AA103" s="304"/>
      <c r="AB103" s="304"/>
      <c r="AC103" s="304"/>
      <c r="AD103" s="304"/>
      <c r="AE103" s="304"/>
      <c r="AF103" s="304"/>
      <c r="AG103" s="304"/>
      <c r="AH103" s="304"/>
      <c r="AI103" s="304"/>
      <c r="AJ103" s="307"/>
      <c r="AL103" s="303"/>
      <c r="AM103" s="303"/>
      <c r="AN103" s="303"/>
      <c r="AO103" s="303"/>
      <c r="AP103" s="303"/>
      <c r="AQ103" s="303"/>
      <c r="AR103" s="303"/>
    </row>
    <row r="104" spans="1:44" s="346" customFormat="1" ht="23.25" customHeight="1">
      <c r="A104" s="304"/>
      <c r="B104" s="329"/>
      <c r="C104" s="329"/>
      <c r="D104" s="329"/>
      <c r="E104" s="329"/>
      <c r="F104" s="329"/>
      <c r="G104" s="329"/>
      <c r="H104" s="329"/>
      <c r="I104" s="328"/>
      <c r="J104" s="328"/>
      <c r="K104" s="328"/>
      <c r="L104" s="328"/>
      <c r="M104" s="328"/>
      <c r="N104" s="328"/>
      <c r="O104" s="328"/>
      <c r="P104" s="328"/>
      <c r="Q104" s="328"/>
      <c r="R104" s="328"/>
      <c r="S104" s="328"/>
      <c r="T104" s="328"/>
      <c r="U104" s="328"/>
      <c r="V104" s="328"/>
      <c r="W104" s="304"/>
      <c r="X104" s="304"/>
      <c r="Y104" s="304"/>
      <c r="Z104" s="304"/>
      <c r="AA104" s="304"/>
      <c r="AB104" s="304"/>
      <c r="AC104" s="304"/>
      <c r="AD104" s="304"/>
      <c r="AE104" s="304"/>
      <c r="AF104" s="304"/>
      <c r="AG104" s="304"/>
      <c r="AH104" s="304"/>
      <c r="AI104" s="304"/>
      <c r="AJ104" s="307"/>
      <c r="AL104" s="303"/>
      <c r="AM104" s="303"/>
      <c r="AN104" s="303"/>
      <c r="AO104" s="303"/>
      <c r="AP104" s="303"/>
      <c r="AQ104" s="303"/>
      <c r="AR104" s="303"/>
    </row>
    <row r="105" spans="1:44" s="346" customFormat="1" ht="23.25" customHeight="1">
      <c r="A105" s="304"/>
      <c r="B105" s="329"/>
      <c r="C105" s="329"/>
      <c r="D105" s="329"/>
      <c r="E105" s="329"/>
      <c r="F105" s="329"/>
      <c r="G105" s="329"/>
      <c r="H105" s="329"/>
      <c r="I105" s="328"/>
      <c r="J105" s="328"/>
      <c r="K105" s="328"/>
      <c r="L105" s="328"/>
      <c r="M105" s="328"/>
      <c r="N105" s="328"/>
      <c r="O105" s="328"/>
      <c r="P105" s="328"/>
      <c r="Q105" s="328"/>
      <c r="R105" s="328"/>
      <c r="S105" s="328"/>
      <c r="T105" s="328"/>
      <c r="U105" s="328"/>
      <c r="V105" s="328"/>
      <c r="W105" s="304"/>
      <c r="X105" s="304"/>
      <c r="Y105" s="304"/>
      <c r="Z105" s="304"/>
      <c r="AA105" s="304"/>
      <c r="AB105" s="304"/>
      <c r="AC105" s="304"/>
      <c r="AD105" s="304"/>
      <c r="AE105" s="304"/>
      <c r="AF105" s="304"/>
      <c r="AG105" s="304"/>
      <c r="AH105" s="304"/>
      <c r="AI105" s="304"/>
      <c r="AJ105" s="307"/>
      <c r="AL105" s="303"/>
      <c r="AM105" s="303"/>
      <c r="AN105" s="303"/>
      <c r="AO105" s="303"/>
      <c r="AP105" s="303"/>
      <c r="AQ105" s="303"/>
      <c r="AR105" s="303"/>
    </row>
    <row r="106" spans="1:44" s="346" customFormat="1" ht="23.25" customHeight="1">
      <c r="A106" s="304"/>
      <c r="B106" s="329"/>
      <c r="C106" s="329"/>
      <c r="D106" s="329"/>
      <c r="E106" s="329"/>
      <c r="F106" s="329"/>
      <c r="G106" s="329"/>
      <c r="H106" s="329"/>
      <c r="I106" s="328"/>
      <c r="J106" s="328"/>
      <c r="K106" s="328"/>
      <c r="L106" s="328"/>
      <c r="M106" s="328"/>
      <c r="N106" s="328"/>
      <c r="O106" s="328"/>
      <c r="P106" s="328"/>
      <c r="Q106" s="328"/>
      <c r="R106" s="328"/>
      <c r="S106" s="328"/>
      <c r="T106" s="328"/>
      <c r="U106" s="328"/>
      <c r="V106" s="328"/>
      <c r="W106" s="304"/>
      <c r="X106" s="304"/>
      <c r="Y106" s="304"/>
      <c r="Z106" s="304"/>
      <c r="AA106" s="304"/>
      <c r="AB106" s="304"/>
      <c r="AC106" s="304"/>
      <c r="AD106" s="304"/>
      <c r="AE106" s="304"/>
      <c r="AF106" s="304"/>
      <c r="AG106" s="304"/>
      <c r="AH106" s="304"/>
      <c r="AI106" s="304"/>
      <c r="AJ106" s="307"/>
      <c r="AL106" s="303"/>
      <c r="AM106" s="303"/>
      <c r="AN106" s="303"/>
      <c r="AO106" s="303"/>
      <c r="AP106" s="303"/>
      <c r="AQ106" s="303"/>
      <c r="AR106" s="303"/>
    </row>
    <row r="107" spans="1:44" s="346" customFormat="1" ht="23.25" customHeight="1">
      <c r="A107" s="304"/>
      <c r="B107" s="329"/>
      <c r="C107" s="329"/>
      <c r="D107" s="329"/>
      <c r="E107" s="329"/>
      <c r="F107" s="329"/>
      <c r="G107" s="329"/>
      <c r="H107" s="329"/>
      <c r="I107" s="328"/>
      <c r="J107" s="328"/>
      <c r="K107" s="328"/>
      <c r="L107" s="328"/>
      <c r="M107" s="328"/>
      <c r="N107" s="328"/>
      <c r="O107" s="328"/>
      <c r="P107" s="328"/>
      <c r="Q107" s="328"/>
      <c r="R107" s="328"/>
      <c r="S107" s="328"/>
      <c r="T107" s="328"/>
      <c r="U107" s="328"/>
      <c r="V107" s="328"/>
      <c r="W107" s="304"/>
      <c r="X107" s="304"/>
      <c r="Y107" s="304"/>
      <c r="Z107" s="304"/>
      <c r="AA107" s="304"/>
      <c r="AB107" s="304"/>
      <c r="AC107" s="304"/>
      <c r="AD107" s="304"/>
      <c r="AE107" s="304"/>
      <c r="AF107" s="304"/>
      <c r="AG107" s="304"/>
      <c r="AH107" s="304"/>
      <c r="AI107" s="304"/>
      <c r="AJ107" s="307"/>
      <c r="AL107" s="303"/>
      <c r="AM107" s="303"/>
      <c r="AN107" s="303"/>
      <c r="AO107" s="303"/>
      <c r="AP107" s="303"/>
      <c r="AQ107" s="303"/>
      <c r="AR107" s="303"/>
    </row>
    <row r="108" spans="1:44" s="346" customFormat="1" ht="23.25" customHeight="1">
      <c r="A108" s="304"/>
      <c r="B108" s="329"/>
      <c r="C108" s="329"/>
      <c r="D108" s="329"/>
      <c r="E108" s="329"/>
      <c r="F108" s="329"/>
      <c r="G108" s="329"/>
      <c r="H108" s="329"/>
      <c r="I108" s="328"/>
      <c r="J108" s="328"/>
      <c r="K108" s="328"/>
      <c r="L108" s="328"/>
      <c r="M108" s="328"/>
      <c r="N108" s="328"/>
      <c r="O108" s="328"/>
      <c r="P108" s="328"/>
      <c r="Q108" s="328"/>
      <c r="R108" s="328"/>
      <c r="S108" s="328"/>
      <c r="T108" s="328"/>
      <c r="U108" s="328"/>
      <c r="V108" s="328"/>
      <c r="W108" s="304"/>
      <c r="X108" s="304"/>
      <c r="Y108" s="304"/>
      <c r="Z108" s="304"/>
      <c r="AA108" s="304"/>
      <c r="AB108" s="304"/>
      <c r="AC108" s="304"/>
      <c r="AD108" s="304"/>
      <c r="AE108" s="304"/>
      <c r="AF108" s="304"/>
      <c r="AG108" s="304"/>
      <c r="AH108" s="304"/>
      <c r="AI108" s="304"/>
      <c r="AJ108" s="307"/>
      <c r="AL108" s="303"/>
      <c r="AM108" s="303"/>
      <c r="AN108" s="303"/>
      <c r="AO108" s="303"/>
      <c r="AP108" s="303"/>
      <c r="AQ108" s="303"/>
      <c r="AR108" s="303"/>
    </row>
    <row r="109" spans="1:44" s="350" customFormat="1" ht="23.25" customHeight="1">
      <c r="A109" s="304"/>
      <c r="B109" s="348"/>
      <c r="C109" s="348"/>
      <c r="D109" s="329"/>
      <c r="E109" s="329"/>
      <c r="F109" s="329"/>
      <c r="G109" s="329"/>
      <c r="H109" s="329"/>
      <c r="I109" s="328"/>
      <c r="J109" s="328"/>
      <c r="K109" s="328"/>
      <c r="L109" s="328"/>
      <c r="M109" s="348"/>
      <c r="N109" s="348"/>
      <c r="O109" s="328"/>
      <c r="P109" s="328"/>
      <c r="Q109" s="328"/>
      <c r="R109" s="328"/>
      <c r="S109" s="328"/>
      <c r="T109" s="328"/>
      <c r="U109" s="348"/>
      <c r="V109" s="349"/>
      <c r="W109" s="304"/>
      <c r="X109" s="304"/>
      <c r="Y109" s="304"/>
      <c r="Z109" s="304"/>
      <c r="AA109" s="304"/>
      <c r="AB109" s="304"/>
      <c r="AC109" s="304"/>
      <c r="AD109" s="304"/>
      <c r="AE109" s="304"/>
      <c r="AF109" s="304"/>
      <c r="AG109" s="304"/>
      <c r="AH109" s="304"/>
      <c r="AI109" s="304"/>
      <c r="AJ109" s="307"/>
      <c r="AL109" s="303"/>
      <c r="AM109" s="303"/>
      <c r="AN109" s="303"/>
      <c r="AO109" s="303"/>
      <c r="AP109" s="303"/>
      <c r="AQ109" s="303"/>
      <c r="AR109" s="303"/>
    </row>
    <row r="110" spans="1:44" ht="23.25" customHeight="1">
      <c r="B110" s="304"/>
      <c r="G110" s="329"/>
      <c r="H110" s="329"/>
      <c r="I110" s="348"/>
      <c r="J110" s="348"/>
      <c r="K110" s="348"/>
      <c r="L110" s="348"/>
      <c r="M110" s="326"/>
      <c r="N110" s="326"/>
      <c r="O110" s="328"/>
      <c r="P110" s="328"/>
      <c r="Q110" s="328"/>
      <c r="R110" s="328"/>
      <c r="S110" s="328"/>
      <c r="T110" s="328"/>
      <c r="U110" s="326"/>
      <c r="V110" s="326"/>
    </row>
    <row r="111" spans="1:44" ht="23.25" customHeight="1">
      <c r="B111" s="304"/>
      <c r="G111" s="329"/>
      <c r="H111" s="329"/>
      <c r="I111" s="326"/>
      <c r="J111" s="326"/>
      <c r="K111" s="326"/>
      <c r="L111" s="326"/>
      <c r="M111" s="351"/>
      <c r="N111" s="351"/>
      <c r="O111" s="328"/>
      <c r="P111" s="328"/>
      <c r="Q111" s="328"/>
      <c r="R111" s="328"/>
      <c r="S111" s="328"/>
      <c r="T111" s="328"/>
      <c r="U111" s="351"/>
      <c r="V111" s="351"/>
    </row>
    <row r="112" spans="1:44" ht="23.25" customHeight="1">
      <c r="B112" s="304"/>
      <c r="G112" s="329"/>
      <c r="H112" s="329"/>
      <c r="I112" s="351"/>
      <c r="J112" s="351"/>
      <c r="K112" s="351"/>
      <c r="L112" s="351"/>
      <c r="N112" s="351"/>
      <c r="O112" s="328"/>
      <c r="P112" s="328"/>
      <c r="Q112" s="328"/>
      <c r="R112" s="328"/>
      <c r="S112" s="328"/>
      <c r="T112" s="328"/>
      <c r="U112" s="351"/>
      <c r="V112" s="351"/>
    </row>
    <row r="113" spans="2:22" ht="23.25" customHeight="1">
      <c r="B113" s="304"/>
      <c r="G113" s="329"/>
      <c r="H113" s="348"/>
      <c r="I113" s="303"/>
      <c r="J113" s="352"/>
      <c r="K113" s="352"/>
      <c r="N113" s="351"/>
      <c r="O113" s="328"/>
      <c r="P113" s="328"/>
      <c r="Q113" s="328"/>
      <c r="R113" s="328"/>
      <c r="S113" s="328"/>
      <c r="T113" s="348"/>
      <c r="U113" s="351"/>
      <c r="V113" s="351"/>
    </row>
    <row r="114" spans="2:22" ht="23.25" customHeight="1">
      <c r="B114" s="304"/>
      <c r="G114" s="329"/>
      <c r="H114" s="326"/>
      <c r="I114" s="303"/>
      <c r="J114" s="352"/>
      <c r="K114" s="352"/>
      <c r="N114" s="303"/>
      <c r="O114" s="348"/>
      <c r="P114" s="348"/>
      <c r="Q114" s="348"/>
      <c r="R114" s="348"/>
      <c r="S114" s="348"/>
      <c r="T114" s="326"/>
      <c r="U114" s="303"/>
      <c r="V114" s="303"/>
    </row>
    <row r="115" spans="2:22" ht="23.25" customHeight="1">
      <c r="B115" s="304"/>
      <c r="G115" s="329"/>
      <c r="H115" s="351"/>
      <c r="I115" s="303"/>
      <c r="J115" s="352"/>
      <c r="K115" s="352"/>
      <c r="M115" s="303"/>
      <c r="N115" s="303"/>
      <c r="O115" s="326"/>
      <c r="P115" s="326"/>
      <c r="Q115" s="326"/>
      <c r="R115" s="326"/>
      <c r="S115" s="326"/>
      <c r="T115" s="351"/>
      <c r="U115" s="303"/>
      <c r="V115" s="303"/>
    </row>
    <row r="116" spans="2:22" ht="23.25" customHeight="1">
      <c r="B116" s="304"/>
      <c r="G116" s="329"/>
      <c r="H116" s="349"/>
      <c r="I116" s="303"/>
      <c r="J116" s="303"/>
      <c r="K116" s="303"/>
      <c r="L116" s="303"/>
      <c r="M116" s="303"/>
      <c r="N116" s="303"/>
      <c r="O116" s="351"/>
      <c r="P116" s="351"/>
      <c r="Q116" s="351"/>
      <c r="R116" s="351"/>
      <c r="S116" s="351"/>
      <c r="T116" s="351"/>
      <c r="U116" s="303"/>
      <c r="V116" s="303"/>
    </row>
    <row r="117" spans="2:22" ht="23.25" customHeight="1">
      <c r="B117" s="304"/>
      <c r="G117" s="329"/>
      <c r="H117" s="349"/>
      <c r="I117" s="303"/>
      <c r="J117" s="303"/>
      <c r="K117" s="303"/>
      <c r="L117" s="303"/>
      <c r="M117" s="303"/>
      <c r="N117" s="303"/>
      <c r="O117" s="351"/>
      <c r="P117" s="351"/>
      <c r="Q117" s="351"/>
      <c r="R117" s="351"/>
      <c r="S117" s="351"/>
      <c r="T117" s="351"/>
      <c r="U117" s="303"/>
      <c r="V117" s="303"/>
    </row>
    <row r="118" spans="2:22" ht="23.25" customHeight="1">
      <c r="B118" s="304"/>
      <c r="G118" s="334"/>
      <c r="H118" s="349"/>
      <c r="I118" s="303"/>
      <c r="J118" s="303"/>
      <c r="K118" s="303"/>
      <c r="L118" s="303"/>
      <c r="M118" s="342"/>
      <c r="N118" s="381"/>
      <c r="O118" s="351"/>
      <c r="P118" s="351"/>
      <c r="Q118" s="351"/>
      <c r="R118" s="351"/>
      <c r="S118" s="351"/>
      <c r="T118" s="303"/>
      <c r="U118" s="342"/>
      <c r="V118" s="342"/>
    </row>
    <row r="119" spans="2:22" ht="23.25" customHeight="1">
      <c r="B119" s="304"/>
      <c r="G119" s="323"/>
      <c r="H119" s="303"/>
      <c r="I119" s="381"/>
      <c r="J119" s="381"/>
      <c r="K119" s="342"/>
      <c r="L119" s="342"/>
      <c r="O119" s="303"/>
      <c r="P119" s="303"/>
      <c r="Q119" s="303"/>
      <c r="R119" s="303"/>
      <c r="S119" s="303"/>
      <c r="T119" s="303"/>
    </row>
    <row r="120" spans="2:22" ht="23.25" customHeight="1">
      <c r="B120" s="304"/>
      <c r="G120" s="352"/>
      <c r="H120" s="303"/>
      <c r="O120" s="303"/>
      <c r="P120" s="303"/>
      <c r="Q120" s="303"/>
      <c r="R120" s="303"/>
      <c r="S120" s="303"/>
      <c r="T120" s="303"/>
    </row>
    <row r="121" spans="2:22" ht="23.25" customHeight="1">
      <c r="B121" s="304"/>
      <c r="H121" s="303"/>
      <c r="O121" s="340"/>
      <c r="P121" s="303"/>
      <c r="Q121" s="303"/>
      <c r="R121" s="303"/>
      <c r="S121" s="303"/>
      <c r="T121" s="303"/>
    </row>
    <row r="122" spans="2:22" ht="23.25" customHeight="1">
      <c r="B122" s="304"/>
      <c r="H122" s="381"/>
      <c r="M122" s="303"/>
      <c r="N122" s="303"/>
      <c r="O122" s="303"/>
      <c r="P122" s="303"/>
      <c r="Q122" s="303"/>
      <c r="R122" s="303"/>
      <c r="S122" s="303"/>
      <c r="T122" s="381"/>
      <c r="U122" s="303"/>
      <c r="V122" s="303"/>
    </row>
    <row r="123" spans="2:22" ht="23.25" customHeight="1">
      <c r="B123" s="304"/>
      <c r="I123" s="303"/>
      <c r="J123" s="303"/>
      <c r="K123" s="303"/>
      <c r="L123" s="303"/>
      <c r="M123" s="303"/>
      <c r="N123" s="303"/>
      <c r="O123" s="381"/>
      <c r="P123" s="342"/>
      <c r="Q123" s="381"/>
      <c r="R123" s="381"/>
      <c r="S123" s="381"/>
      <c r="U123" s="303"/>
      <c r="V123" s="303"/>
    </row>
    <row r="124" spans="2:22" ht="23.25" customHeight="1">
      <c r="B124" s="304"/>
      <c r="I124" s="303"/>
      <c r="J124" s="303"/>
      <c r="K124" s="303"/>
      <c r="L124" s="303"/>
      <c r="M124" s="303"/>
      <c r="N124" s="303"/>
      <c r="U124" s="303"/>
      <c r="V124" s="303"/>
    </row>
    <row r="125" spans="2:22" ht="23.25" customHeight="1">
      <c r="B125" s="342"/>
      <c r="C125" s="342"/>
      <c r="D125" s="381"/>
      <c r="E125" s="381"/>
      <c r="F125" s="381"/>
      <c r="I125" s="303"/>
      <c r="J125" s="303"/>
      <c r="K125" s="303"/>
      <c r="L125" s="303"/>
      <c r="M125" s="342"/>
      <c r="N125" s="381"/>
      <c r="U125" s="342"/>
      <c r="V125" s="342"/>
    </row>
    <row r="126" spans="2:22" ht="23.25" customHeight="1">
      <c r="H126" s="303"/>
      <c r="I126" s="381"/>
      <c r="J126" s="381"/>
      <c r="K126" s="342"/>
      <c r="L126" s="342"/>
      <c r="T126" s="303"/>
    </row>
    <row r="127" spans="2:22" ht="23.25" customHeight="1">
      <c r="G127" s="354"/>
      <c r="H127" s="303"/>
      <c r="O127" s="303"/>
      <c r="P127" s="303"/>
      <c r="Q127" s="303"/>
      <c r="R127" s="303"/>
      <c r="S127" s="303"/>
      <c r="T127" s="303"/>
    </row>
    <row r="128" spans="2:22" ht="23.25" customHeight="1">
      <c r="H128" s="303"/>
      <c r="O128" s="303"/>
      <c r="P128" s="303"/>
      <c r="Q128" s="303"/>
      <c r="R128" s="303"/>
      <c r="S128" s="303"/>
      <c r="T128" s="303"/>
    </row>
    <row r="129" spans="7:20" ht="23.25" customHeight="1">
      <c r="H129" s="381"/>
      <c r="O129" s="303"/>
      <c r="P129" s="303"/>
      <c r="Q129" s="303"/>
      <c r="R129" s="303"/>
      <c r="S129" s="303"/>
      <c r="T129" s="381"/>
    </row>
    <row r="130" spans="7:20" ht="23.25" customHeight="1">
      <c r="O130" s="381"/>
      <c r="P130" s="342"/>
      <c r="Q130" s="381"/>
      <c r="R130" s="381"/>
      <c r="S130" s="381"/>
    </row>
    <row r="134" spans="7:20" ht="23.25" customHeight="1">
      <c r="G134" s="354"/>
    </row>
  </sheetData>
  <mergeCells count="37">
    <mergeCell ref="B1:AK1"/>
    <mergeCell ref="B2:AK2"/>
    <mergeCell ref="B4:T4"/>
    <mergeCell ref="U4:X4"/>
    <mergeCell ref="B6:B8"/>
    <mergeCell ref="C6:C8"/>
    <mergeCell ref="D6:D8"/>
    <mergeCell ref="E6:F8"/>
    <mergeCell ref="G6:G8"/>
    <mergeCell ref="H6:H8"/>
    <mergeCell ref="V6:V8"/>
    <mergeCell ref="I6:I8"/>
    <mergeCell ref="J6:J8"/>
    <mergeCell ref="S6:U7"/>
    <mergeCell ref="N6:N8"/>
    <mergeCell ref="Q6:Q8"/>
    <mergeCell ref="R6:R8"/>
    <mergeCell ref="I31:L31"/>
    <mergeCell ref="T31:W31"/>
    <mergeCell ref="AF32:AJ32"/>
    <mergeCell ref="W6:AH6"/>
    <mergeCell ref="AI6:AI8"/>
    <mergeCell ref="AJ6:AJ8"/>
    <mergeCell ref="W7:W8"/>
    <mergeCell ref="X7:Z7"/>
    <mergeCell ref="AA7:AC7"/>
    <mergeCell ref="AD7:AH7"/>
    <mergeCell ref="F28:R28"/>
    <mergeCell ref="N31:S31"/>
    <mergeCell ref="B9:D9"/>
    <mergeCell ref="B19:D19"/>
    <mergeCell ref="B25:D25"/>
    <mergeCell ref="O6:O8"/>
    <mergeCell ref="P6:P8"/>
    <mergeCell ref="K6:K8"/>
    <mergeCell ref="L6:L8"/>
    <mergeCell ref="M6:M8"/>
  </mergeCells>
  <printOptions horizontalCentered="1" verticalCentered="1"/>
  <pageMargins left="0" right="0" top="0.24803149599999999" bottom="0.25" header="0.31496062992126" footer="0.31496062992126"/>
  <pageSetup paperSize="5" scale="65" orientation="landscape" r:id="rId1"/>
  <headerFooter>
    <oddFooter>Page &amp;P of &amp;N</oddFooter>
  </headerFooter>
  <colBreaks count="1" manualBreakCount="1">
    <brk id="36" max="31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K139"/>
  <sheetViews>
    <sheetView topLeftCell="A10" zoomScale="140" zoomScaleNormal="140" workbookViewId="0">
      <selection activeCell="E16" sqref="E16"/>
    </sheetView>
  </sheetViews>
  <sheetFormatPr defaultColWidth="9.140625" defaultRowHeight="12.75"/>
  <cols>
    <col min="1" max="1" width="10.5703125" style="386" customWidth="1"/>
    <col min="2" max="2" width="30" style="386" customWidth="1"/>
    <col min="3" max="3" width="15.5703125" style="386" customWidth="1"/>
    <col min="4" max="4" width="13.140625" style="386" customWidth="1"/>
    <col min="5" max="6" width="15.140625" style="386" customWidth="1"/>
    <col min="7" max="7" width="13.42578125" style="386" customWidth="1"/>
    <col min="8" max="8" width="10" style="386" customWidth="1"/>
    <col min="9" max="9" width="13.85546875" style="386" bestFit="1" customWidth="1"/>
    <col min="10" max="10" width="15" style="386" bestFit="1" customWidth="1"/>
    <col min="11" max="11" width="11.5703125" style="386" bestFit="1" customWidth="1"/>
    <col min="12" max="16384" width="9.140625" style="386"/>
  </cols>
  <sheetData>
    <row r="1" spans="1:10" ht="18">
      <c r="A1" s="806" t="s">
        <v>252</v>
      </c>
      <c r="B1" s="806"/>
      <c r="C1" s="806"/>
      <c r="D1" s="806"/>
      <c r="E1" s="806"/>
      <c r="F1" s="408"/>
    </row>
    <row r="2" spans="1:10">
      <c r="A2" s="807" t="s">
        <v>386</v>
      </c>
      <c r="B2" s="807"/>
      <c r="C2" s="807"/>
      <c r="D2" s="807"/>
      <c r="E2" s="807"/>
      <c r="F2" s="407"/>
      <c r="H2" s="431"/>
      <c r="I2" s="431"/>
    </row>
    <row r="3" spans="1:10">
      <c r="A3" s="807" t="s">
        <v>485</v>
      </c>
      <c r="B3" s="807"/>
      <c r="C3" s="807"/>
      <c r="D3" s="807"/>
      <c r="E3" s="807"/>
      <c r="F3" s="407"/>
      <c r="J3" s="414"/>
    </row>
    <row r="4" spans="1:10">
      <c r="A4" s="405"/>
      <c r="B4" s="404"/>
      <c r="C4" s="404"/>
      <c r="D4" s="404"/>
      <c r="E4" s="657" t="s">
        <v>482</v>
      </c>
      <c r="I4" s="414"/>
    </row>
    <row r="5" spans="1:10">
      <c r="A5" s="394" t="s">
        <v>249</v>
      </c>
      <c r="B5" s="394" t="s">
        <v>248</v>
      </c>
      <c r="C5" s="394" t="s">
        <v>93</v>
      </c>
      <c r="D5" s="394" t="s">
        <v>85</v>
      </c>
      <c r="E5" s="403" t="s">
        <v>427</v>
      </c>
      <c r="I5" s="414"/>
    </row>
    <row r="6" spans="1:10" ht="23.25">
      <c r="A6" s="394"/>
      <c r="B6" s="615" t="s">
        <v>389</v>
      </c>
      <c r="C6" s="628"/>
      <c r="D6" s="394"/>
      <c r="E6" s="403"/>
      <c r="I6" s="414"/>
    </row>
    <row r="7" spans="1:10">
      <c r="A7" s="617">
        <v>1</v>
      </c>
      <c r="B7" s="618" t="str">
        <f>'RPB Salary  August 2021'!D10</f>
        <v>Md. Yousuf Ali</v>
      </c>
      <c r="C7" s="697" t="str">
        <f>'RPB Salary  August 2021'!E10</f>
        <v>SPO &amp; Manager</v>
      </c>
      <c r="D7" s="627">
        <f>'RPB Salary  August 2021'!AJ10</f>
        <v>40723</v>
      </c>
      <c r="E7" s="648" t="s">
        <v>465</v>
      </c>
      <c r="G7" s="409"/>
      <c r="I7" s="414"/>
    </row>
    <row r="8" spans="1:10">
      <c r="A8" s="424">
        <f t="shared" ref="A8:A13" si="0">A7+1</f>
        <v>2</v>
      </c>
      <c r="B8" s="372" t="s">
        <v>387</v>
      </c>
      <c r="C8" s="628" t="s">
        <v>236</v>
      </c>
      <c r="D8" s="627">
        <f>'RPB Salary  August 2021'!AJ11</f>
        <v>38216</v>
      </c>
      <c r="E8" s="648" t="s">
        <v>396</v>
      </c>
      <c r="I8" s="414"/>
    </row>
    <row r="9" spans="1:10">
      <c r="A9" s="424">
        <f>A8+1</f>
        <v>3</v>
      </c>
      <c r="B9" s="373" t="s">
        <v>233</v>
      </c>
      <c r="C9" s="628" t="s">
        <v>236</v>
      </c>
      <c r="D9" s="627">
        <f>'RPB Salary  August 2021'!AJ12</f>
        <v>53990</v>
      </c>
      <c r="E9" s="648" t="s">
        <v>391</v>
      </c>
      <c r="I9" s="414"/>
    </row>
    <row r="10" spans="1:10">
      <c r="A10" s="424">
        <f t="shared" si="0"/>
        <v>4</v>
      </c>
      <c r="B10" s="372" t="s">
        <v>436</v>
      </c>
      <c r="C10" s="628" t="s">
        <v>7</v>
      </c>
      <c r="D10" s="627">
        <f>'RPB Salary  August 2021'!AJ13</f>
        <v>23451</v>
      </c>
      <c r="E10" s="668" t="s">
        <v>437</v>
      </c>
      <c r="I10" s="414"/>
    </row>
    <row r="11" spans="1:10">
      <c r="A11" s="424">
        <f t="shared" si="0"/>
        <v>5</v>
      </c>
      <c r="B11" s="373" t="s">
        <v>182</v>
      </c>
      <c r="C11" s="628" t="s">
        <v>179</v>
      </c>
      <c r="D11" s="627">
        <f>'RPB Salary  August 2021'!AJ14</f>
        <v>35413</v>
      </c>
      <c r="E11" s="648" t="s">
        <v>392</v>
      </c>
      <c r="I11" s="414"/>
    </row>
    <row r="12" spans="1:10">
      <c r="A12" s="424">
        <f t="shared" si="0"/>
        <v>6</v>
      </c>
      <c r="B12" s="372" t="s">
        <v>59</v>
      </c>
      <c r="C12" s="628" t="s">
        <v>179</v>
      </c>
      <c r="D12" s="627">
        <f>'RPB Salary  August 2021'!AJ15</f>
        <v>14096</v>
      </c>
      <c r="E12" s="649" t="s">
        <v>393</v>
      </c>
      <c r="I12" s="414"/>
    </row>
    <row r="13" spans="1:10">
      <c r="A13" s="622">
        <f t="shared" si="0"/>
        <v>7</v>
      </c>
      <c r="B13" s="623" t="s">
        <v>235</v>
      </c>
      <c r="C13" s="629" t="s">
        <v>179</v>
      </c>
      <c r="D13" s="627">
        <f>'RPB Salary  August 2021'!AJ16</f>
        <v>32450</v>
      </c>
      <c r="E13" s="650" t="s">
        <v>394</v>
      </c>
      <c r="I13" s="414"/>
    </row>
    <row r="14" spans="1:10">
      <c r="A14" s="630" t="s">
        <v>282</v>
      </c>
      <c r="B14" s="811" t="s">
        <v>397</v>
      </c>
      <c r="C14" s="812"/>
      <c r="D14" s="627">
        <f>SUM(D7:D13)</f>
        <v>238339</v>
      </c>
      <c r="E14" s="649"/>
      <c r="I14" s="414"/>
    </row>
    <row r="15" spans="1:10" ht="23.25">
      <c r="A15" s="617"/>
      <c r="B15" s="616" t="s">
        <v>388</v>
      </c>
      <c r="C15" s="624"/>
      <c r="D15" s="625"/>
      <c r="E15" s="626"/>
      <c r="I15" s="414"/>
    </row>
    <row r="16" spans="1:10">
      <c r="A16" s="424">
        <v>1</v>
      </c>
      <c r="B16" s="372" t="s">
        <v>61</v>
      </c>
      <c r="C16" s="394" t="s">
        <v>62</v>
      </c>
      <c r="D16" s="428">
        <f>'RPB Salary  August 2021'!AJ20</f>
        <v>10929</v>
      </c>
      <c r="E16" s="649" t="s">
        <v>395</v>
      </c>
      <c r="I16" s="414"/>
    </row>
    <row r="17" spans="1:11">
      <c r="A17" s="424">
        <f>A16+1</f>
        <v>2</v>
      </c>
      <c r="B17" s="372" t="s">
        <v>63</v>
      </c>
      <c r="C17" s="394" t="s">
        <v>64</v>
      </c>
      <c r="D17" s="428">
        <f>'RPB Salary  August 2021'!AJ21</f>
        <v>21104</v>
      </c>
      <c r="E17" s="649" t="s">
        <v>420</v>
      </c>
      <c r="I17" s="414"/>
    </row>
    <row r="18" spans="1:11">
      <c r="A18" s="424">
        <f t="shared" ref="A18:A19" si="1">A17+1</f>
        <v>3</v>
      </c>
      <c r="B18" s="373" t="s">
        <v>494</v>
      </c>
      <c r="C18" s="394" t="s">
        <v>64</v>
      </c>
      <c r="D18" s="428">
        <f>'RPB Salary  August 2021'!AJ22</f>
        <v>16983</v>
      </c>
      <c r="E18" s="649" t="s">
        <v>496</v>
      </c>
    </row>
    <row r="19" spans="1:11">
      <c r="A19" s="424">
        <f t="shared" si="1"/>
        <v>4</v>
      </c>
      <c r="B19" s="373" t="s">
        <v>241</v>
      </c>
      <c r="C19" s="394" t="s">
        <v>64</v>
      </c>
      <c r="D19" s="428">
        <f>'RPB Salary  August 2021'!AJ23</f>
        <v>14528</v>
      </c>
      <c r="E19" s="649" t="s">
        <v>422</v>
      </c>
      <c r="I19" s="414"/>
    </row>
    <row r="20" spans="1:11">
      <c r="A20" s="630" t="s">
        <v>261</v>
      </c>
      <c r="B20" s="809" t="s">
        <v>398</v>
      </c>
      <c r="C20" s="810"/>
      <c r="D20" s="427">
        <f>SUM(D16:D19)</f>
        <v>63544</v>
      </c>
      <c r="E20" s="410"/>
      <c r="I20" s="414"/>
    </row>
    <row r="21" spans="1:11">
      <c r="A21" s="448" t="s">
        <v>399</v>
      </c>
      <c r="B21" s="813" t="s">
        <v>400</v>
      </c>
      <c r="C21" s="814"/>
      <c r="D21" s="621">
        <f>D14+D20</f>
        <v>301883</v>
      </c>
      <c r="E21" s="393"/>
      <c r="I21" s="414"/>
    </row>
    <row r="22" spans="1:11" ht="18">
      <c r="A22" s="806" t="s">
        <v>252</v>
      </c>
      <c r="B22" s="806"/>
      <c r="C22" s="806"/>
      <c r="D22" s="806"/>
      <c r="E22" s="806"/>
      <c r="I22" s="414"/>
    </row>
    <row r="23" spans="1:11">
      <c r="A23" s="807" t="str">
        <f>A2</f>
        <v>Rangpur Branch,Rangpur.</v>
      </c>
      <c r="B23" s="807"/>
      <c r="C23" s="807"/>
      <c r="D23" s="807"/>
      <c r="E23" s="807"/>
      <c r="I23" s="414"/>
    </row>
    <row r="24" spans="1:11">
      <c r="A24" s="807" t="s">
        <v>257</v>
      </c>
      <c r="B24" s="807"/>
      <c r="C24" s="807"/>
      <c r="D24" s="807"/>
      <c r="E24" s="807"/>
      <c r="I24" s="414"/>
    </row>
    <row r="25" spans="1:11">
      <c r="A25" s="808" t="s">
        <v>486</v>
      </c>
      <c r="B25" s="808"/>
      <c r="C25" s="808"/>
      <c r="D25" s="808"/>
      <c r="E25" s="808"/>
      <c r="I25" s="414"/>
    </row>
    <row r="26" spans="1:11">
      <c r="A26" s="619"/>
      <c r="B26" s="619"/>
      <c r="C26" s="619"/>
      <c r="D26" s="619"/>
      <c r="E26" s="619"/>
      <c r="I26" s="414"/>
    </row>
    <row r="27" spans="1:11">
      <c r="A27" s="394" t="s">
        <v>249</v>
      </c>
      <c r="B27" s="394" t="s">
        <v>248</v>
      </c>
      <c r="C27" s="394" t="s">
        <v>93</v>
      </c>
      <c r="D27" s="394" t="s">
        <v>85</v>
      </c>
      <c r="E27" s="403" t="s">
        <v>256</v>
      </c>
      <c r="F27" s="402"/>
      <c r="G27" s="412">
        <f>'RPB Salary  August 2021'!AA13</f>
        <v>25268</v>
      </c>
      <c r="H27" s="426">
        <v>2889833.27</v>
      </c>
      <c r="I27" s="412" t="e">
        <f>H27/#REF!</f>
        <v>#REF!</v>
      </c>
      <c r="J27" s="411" t="e">
        <f>G27*I27</f>
        <v>#REF!</v>
      </c>
    </row>
    <row r="28" spans="1:11" ht="23.25">
      <c r="A28" s="424"/>
      <c r="B28" s="635" t="str">
        <f>B6</f>
        <v>Officers</v>
      </c>
      <c r="C28" s="653"/>
      <c r="D28" s="654"/>
      <c r="E28" s="649"/>
      <c r="F28" s="387"/>
      <c r="H28" s="426">
        <v>1114410.68</v>
      </c>
      <c r="I28" s="412" t="e">
        <f>H28/#REF!</f>
        <v>#REF!</v>
      </c>
      <c r="J28" s="411" t="e">
        <f>G27*I28</f>
        <v>#REF!</v>
      </c>
      <c r="K28" s="412"/>
    </row>
    <row r="29" spans="1:11">
      <c r="A29" s="424"/>
      <c r="B29" s="633" t="str">
        <f>'RPB Salary  August 2021'!D10</f>
        <v>Md. Yousuf Ali</v>
      </c>
      <c r="C29" s="653" t="s">
        <v>464</v>
      </c>
      <c r="D29" s="654">
        <f>'RPB Salary  August 2021'!M10</f>
        <v>22412</v>
      </c>
      <c r="E29" s="669" t="s">
        <v>469</v>
      </c>
      <c r="F29" s="387"/>
      <c r="H29" s="426"/>
      <c r="I29" s="412"/>
      <c r="J29" s="411"/>
      <c r="K29" s="412"/>
    </row>
    <row r="30" spans="1:11">
      <c r="A30" s="424">
        <v>1</v>
      </c>
      <c r="B30" s="633" t="str">
        <f>B8</f>
        <v>Md.Abul Kalam</v>
      </c>
      <c r="C30" s="653" t="str">
        <f>C8</f>
        <v>SPO</v>
      </c>
      <c r="D30" s="423">
        <f>'RPB Salary  August 2021'!AA11</f>
        <v>18132</v>
      </c>
      <c r="E30" s="649" t="s">
        <v>435</v>
      </c>
      <c r="F30" s="387"/>
      <c r="I30" s="421"/>
    </row>
    <row r="31" spans="1:11">
      <c r="A31" s="424">
        <v>2</v>
      </c>
      <c r="B31" s="633" t="str">
        <f>B10</f>
        <v>MD.Shahjahan Kabir</v>
      </c>
      <c r="C31" s="653" t="str">
        <f>C10</f>
        <v>PO</v>
      </c>
      <c r="D31" s="423">
        <f>'RPB Salary  August 2021'!M12</f>
        <v>17268</v>
      </c>
      <c r="E31" s="669" t="s">
        <v>472</v>
      </c>
      <c r="F31" s="387"/>
      <c r="G31" s="425"/>
      <c r="H31" s="422">
        <v>3835380.84</v>
      </c>
      <c r="I31" s="421" t="e">
        <f>H31/#REF!</f>
        <v>#REF!</v>
      </c>
      <c r="J31" s="411" t="e">
        <f>#REF!*I31</f>
        <v>#REF!</v>
      </c>
    </row>
    <row r="32" spans="1:11">
      <c r="A32" s="424">
        <v>2.1</v>
      </c>
      <c r="B32" s="633" t="str">
        <f>B31</f>
        <v>MD.Shahjahan Kabir</v>
      </c>
      <c r="C32" s="653" t="s">
        <v>7</v>
      </c>
      <c r="D32" s="423">
        <v>8000</v>
      </c>
      <c r="E32" s="669" t="s">
        <v>473</v>
      </c>
      <c r="F32" s="387"/>
      <c r="G32" s="425"/>
      <c r="H32" s="422"/>
      <c r="I32" s="421"/>
      <c r="J32" s="411"/>
      <c r="K32" s="386" t="s">
        <v>479</v>
      </c>
    </row>
    <row r="33" spans="1:11">
      <c r="A33" s="424">
        <v>3</v>
      </c>
      <c r="B33" s="633" t="str">
        <f>B12</f>
        <v>Khadiza Begum</v>
      </c>
      <c r="C33" s="653" t="str">
        <f>C12</f>
        <v>SO</v>
      </c>
      <c r="D33" s="423">
        <v>3064</v>
      </c>
      <c r="E33" s="655" t="s">
        <v>401</v>
      </c>
      <c r="F33" s="387" t="s">
        <v>480</v>
      </c>
      <c r="G33" s="418">
        <v>9131</v>
      </c>
      <c r="H33" s="422">
        <v>89322.74</v>
      </c>
      <c r="I33" s="421">
        <f>H33/H44</f>
        <v>0.12843586124653475</v>
      </c>
      <c r="J33" s="411">
        <f>G33*I33</f>
        <v>1172.7478490421088</v>
      </c>
      <c r="K33" s="386">
        <v>1399312.37</v>
      </c>
    </row>
    <row r="34" spans="1:11">
      <c r="A34" s="424">
        <v>3.1</v>
      </c>
      <c r="B34" s="633" t="s">
        <v>59</v>
      </c>
      <c r="C34" s="653" t="s">
        <v>179</v>
      </c>
      <c r="D34" s="423">
        <v>7331</v>
      </c>
      <c r="E34" s="655" t="s">
        <v>402</v>
      </c>
      <c r="F34" s="387" t="s">
        <v>481</v>
      </c>
      <c r="G34" s="418">
        <f>G33-D33</f>
        <v>6067</v>
      </c>
      <c r="H34" s="422"/>
      <c r="I34" s="421"/>
      <c r="J34" s="411">
        <v>4555</v>
      </c>
      <c r="K34" s="386">
        <v>3348270.69</v>
      </c>
    </row>
    <row r="35" spans="1:11">
      <c r="A35" s="630" t="s">
        <v>282</v>
      </c>
      <c r="B35" s="633" t="str">
        <f>B14</f>
        <v>Sub Total</v>
      </c>
      <c r="C35" s="653"/>
      <c r="D35" s="423">
        <f>SUM(D29:D34)</f>
        <v>76207</v>
      </c>
      <c r="E35" s="409"/>
      <c r="F35" s="387"/>
      <c r="G35" s="418"/>
      <c r="H35" s="422"/>
      <c r="I35" s="421"/>
      <c r="J35" s="411">
        <f>G33-J33</f>
        <v>7958.252150957891</v>
      </c>
    </row>
    <row r="36" spans="1:11" ht="20.25">
      <c r="A36" s="424"/>
      <c r="B36" s="634" t="str">
        <f>B15</f>
        <v>Staff</v>
      </c>
      <c r="C36" s="653"/>
      <c r="D36" s="423"/>
      <c r="E36" s="409"/>
      <c r="F36" s="387"/>
      <c r="G36" s="418"/>
      <c r="H36" s="422"/>
      <c r="I36" s="421"/>
      <c r="J36" s="411"/>
    </row>
    <row r="37" spans="1:11">
      <c r="A37" s="424">
        <v>1</v>
      </c>
      <c r="B37" s="633" t="str">
        <f>B16</f>
        <v>Md. Abul Kashem Miah</v>
      </c>
      <c r="C37" s="653" t="str">
        <f t="shared" ref="C37" si="2">C16</f>
        <v>SSG-1</v>
      </c>
      <c r="D37" s="656">
        <v>5980</v>
      </c>
      <c r="E37" s="649" t="s">
        <v>405</v>
      </c>
      <c r="F37" s="387"/>
      <c r="G37" s="418"/>
      <c r="H37" s="422"/>
      <c r="I37" s="421"/>
      <c r="J37" s="411"/>
    </row>
    <row r="38" spans="1:11">
      <c r="A38" s="424">
        <v>1.1000000000000001</v>
      </c>
      <c r="B38" s="633" t="s">
        <v>61</v>
      </c>
      <c r="C38" s="394" t="s">
        <v>62</v>
      </c>
      <c r="D38" s="656">
        <v>5980</v>
      </c>
      <c r="E38" s="649" t="s">
        <v>406</v>
      </c>
      <c r="F38" s="387"/>
      <c r="G38" s="418"/>
      <c r="H38" s="422"/>
      <c r="I38" s="421"/>
      <c r="J38" s="411"/>
    </row>
    <row r="39" spans="1:11">
      <c r="A39" s="424">
        <v>2</v>
      </c>
      <c r="B39" s="633" t="str">
        <f>B17</f>
        <v>Md.Shahabuddin</v>
      </c>
      <c r="C39" s="653" t="str">
        <f t="shared" ref="C39" si="3">C17</f>
        <v>SSG-2</v>
      </c>
      <c r="D39" s="423">
        <f>'RPB Salary  August 2021'!AA21</f>
        <v>2400</v>
      </c>
      <c r="E39" s="649" t="s">
        <v>409</v>
      </c>
      <c r="F39" s="387"/>
      <c r="G39" s="418"/>
      <c r="H39" s="422"/>
      <c r="I39" s="728"/>
      <c r="J39" s="411"/>
    </row>
    <row r="40" spans="1:11">
      <c r="A40" s="424">
        <f>A39+1</f>
        <v>3</v>
      </c>
      <c r="B40" s="633" t="str">
        <f>B18</f>
        <v>Md. Abdur Razzaque</v>
      </c>
      <c r="C40" s="653" t="str">
        <f>C18</f>
        <v>SSG-2</v>
      </c>
      <c r="D40" s="656">
        <f>'RPB Salary  August 2021'!AA22</f>
        <v>9126</v>
      </c>
      <c r="E40" s="669" t="s">
        <v>285</v>
      </c>
      <c r="F40" s="387"/>
      <c r="G40" s="418"/>
      <c r="H40" s="422"/>
      <c r="I40" s="421"/>
      <c r="J40" s="411"/>
    </row>
    <row r="41" spans="1:11">
      <c r="A41" s="424">
        <f t="shared" ref="A41" si="4">A40+1</f>
        <v>4</v>
      </c>
      <c r="B41" s="633" t="str">
        <f>B19</f>
        <v>Md Ezazul Haque Sarkar</v>
      </c>
      <c r="C41" s="653" t="str">
        <f>C19</f>
        <v>SSG-2</v>
      </c>
      <c r="D41" s="423">
        <f>'RPB Salary  August 2021'!AA23/2</f>
        <v>4158</v>
      </c>
      <c r="E41" s="649" t="s">
        <v>407</v>
      </c>
      <c r="F41" s="387"/>
      <c r="G41" s="418"/>
      <c r="H41" s="422"/>
      <c r="I41" s="421"/>
      <c r="J41" s="411"/>
    </row>
    <row r="42" spans="1:11">
      <c r="A42" s="424">
        <v>4.0999999999999996</v>
      </c>
      <c r="B42" s="633" t="s">
        <v>241</v>
      </c>
      <c r="C42" s="653"/>
      <c r="D42" s="423">
        <f>'RPB Salary  August 2021'!AA23/2</f>
        <v>4158</v>
      </c>
      <c r="E42" s="649" t="s">
        <v>408</v>
      </c>
      <c r="F42" s="387"/>
      <c r="G42" s="418"/>
      <c r="H42" s="422"/>
      <c r="I42" s="421"/>
      <c r="J42" s="411"/>
    </row>
    <row r="43" spans="1:11">
      <c r="A43" s="639" t="s">
        <v>261</v>
      </c>
      <c r="B43" s="420"/>
      <c r="C43" s="394" t="s">
        <v>398</v>
      </c>
      <c r="D43" s="419">
        <f>SUM(D37:D42)</f>
        <v>31802</v>
      </c>
      <c r="E43" s="393"/>
      <c r="G43" s="418"/>
      <c r="H43" s="386">
        <v>606142.99</v>
      </c>
      <c r="I43" s="418">
        <f>H43/H44</f>
        <v>0.87156413875346528</v>
      </c>
      <c r="J43" s="411">
        <f>G33*I43</f>
        <v>7958.2521509578919</v>
      </c>
    </row>
    <row r="44" spans="1:11">
      <c r="A44" s="639" t="s">
        <v>399</v>
      </c>
      <c r="B44" s="420" t="s">
        <v>400</v>
      </c>
      <c r="C44" s="394"/>
      <c r="D44" s="419">
        <f>D35+D43</f>
        <v>108009</v>
      </c>
      <c r="E44" s="638"/>
      <c r="F44" s="418"/>
      <c r="G44" s="418"/>
      <c r="H44" s="411">
        <f>SUM(H33:H43)</f>
        <v>695465.73</v>
      </c>
    </row>
    <row r="45" spans="1:11">
      <c r="A45" s="661"/>
      <c r="B45" s="404"/>
      <c r="C45" s="389"/>
      <c r="D45" s="662"/>
      <c r="E45" s="418"/>
      <c r="F45" s="418"/>
      <c r="G45" s="418"/>
      <c r="H45" s="411"/>
    </row>
    <row r="46" spans="1:11">
      <c r="A46" s="661"/>
      <c r="B46" s="404"/>
      <c r="C46" s="389"/>
      <c r="D46" s="662"/>
      <c r="E46" s="418"/>
      <c r="F46" s="418"/>
      <c r="G46" s="418"/>
      <c r="H46" s="411"/>
    </row>
    <row r="47" spans="1:11">
      <c r="A47" s="661"/>
      <c r="B47" s="404"/>
      <c r="C47" s="389"/>
      <c r="D47" s="662"/>
      <c r="E47" s="418"/>
      <c r="F47" s="418"/>
      <c r="G47" s="418"/>
      <c r="H47" s="411"/>
    </row>
    <row r="48" spans="1:11">
      <c r="A48" s="661"/>
      <c r="B48" s="404"/>
      <c r="C48" s="389"/>
      <c r="D48" s="662"/>
      <c r="E48" s="418"/>
      <c r="F48" s="418"/>
      <c r="G48" s="418"/>
      <c r="H48" s="411"/>
    </row>
    <row r="49" spans="1:11">
      <c r="A49" s="661"/>
      <c r="B49" s="404"/>
      <c r="C49" s="389"/>
      <c r="D49" s="662"/>
      <c r="E49" s="418"/>
      <c r="F49" s="418"/>
      <c r="G49" s="418"/>
      <c r="H49" s="411"/>
    </row>
    <row r="50" spans="1:11">
      <c r="A50" s="661"/>
      <c r="B50" s="404"/>
      <c r="C50" s="389"/>
      <c r="D50" s="662"/>
      <c r="E50" s="418"/>
      <c r="F50" s="418"/>
      <c r="G50" s="418"/>
      <c r="H50" s="411"/>
    </row>
    <row r="51" spans="1:11">
      <c r="A51" s="661"/>
      <c r="B51" s="404"/>
      <c r="C51" s="389"/>
      <c r="D51" s="662"/>
      <c r="E51" s="418"/>
      <c r="F51" s="418"/>
      <c r="G51" s="418"/>
      <c r="H51" s="411"/>
    </row>
    <row r="52" spans="1:11">
      <c r="A52" s="661"/>
      <c r="B52" s="404"/>
      <c r="C52" s="389"/>
      <c r="D52" s="662"/>
      <c r="E52" s="418"/>
      <c r="F52" s="418"/>
      <c r="G52" s="418"/>
      <c r="H52" s="411"/>
    </row>
    <row r="53" spans="1:11">
      <c r="A53" s="661"/>
      <c r="B53" s="404"/>
      <c r="C53" s="389"/>
      <c r="D53" s="662"/>
      <c r="E53" s="418"/>
      <c r="F53" s="418"/>
      <c r="G53" s="418"/>
      <c r="H53" s="411"/>
    </row>
    <row r="54" spans="1:11">
      <c r="A54" s="661"/>
      <c r="B54" s="404"/>
      <c r="C54" s="389"/>
      <c r="D54" s="662"/>
      <c r="E54" s="418"/>
      <c r="F54" s="418"/>
      <c r="G54" s="418"/>
      <c r="H54" s="411"/>
    </row>
    <row r="55" spans="1:11">
      <c r="A55" s="661"/>
      <c r="B55" s="404"/>
      <c r="C55" s="389"/>
      <c r="D55" s="662"/>
      <c r="E55" s="418"/>
      <c r="F55" s="418"/>
      <c r="G55" s="418"/>
      <c r="H55" s="411"/>
    </row>
    <row r="56" spans="1:11" ht="18">
      <c r="A56" s="806" t="s">
        <v>252</v>
      </c>
      <c r="B56" s="806"/>
      <c r="C56" s="806"/>
      <c r="D56" s="806"/>
      <c r="E56" s="806"/>
      <c r="F56" s="408"/>
      <c r="J56" s="417"/>
    </row>
    <row r="57" spans="1:11">
      <c r="A57" s="807" t="str">
        <f>A2</f>
        <v>Rangpur Branch,Rangpur.</v>
      </c>
      <c r="B57" s="807"/>
      <c r="C57" s="807"/>
      <c r="D57" s="807"/>
      <c r="E57" s="807"/>
      <c r="F57" s="407"/>
    </row>
    <row r="58" spans="1:11">
      <c r="A58" s="807" t="s">
        <v>254</v>
      </c>
      <c r="B58" s="807"/>
      <c r="C58" s="807"/>
      <c r="D58" s="807"/>
      <c r="E58" s="807"/>
      <c r="F58" s="407"/>
    </row>
    <row r="59" spans="1:11">
      <c r="A59" s="808" t="s">
        <v>486</v>
      </c>
      <c r="B59" s="808"/>
      <c r="C59" s="808"/>
      <c r="D59" s="808"/>
      <c r="E59" s="808"/>
      <c r="F59" s="406"/>
      <c r="H59" s="414"/>
    </row>
    <row r="60" spans="1:11">
      <c r="A60" s="405"/>
      <c r="B60" s="404"/>
      <c r="C60" s="404"/>
      <c r="D60" s="404"/>
      <c r="J60" s="414"/>
    </row>
    <row r="61" spans="1:11" ht="25.5" customHeight="1">
      <c r="A61" s="394" t="s">
        <v>249</v>
      </c>
      <c r="B61" s="394" t="s">
        <v>248</v>
      </c>
      <c r="C61" s="394" t="s">
        <v>93</v>
      </c>
      <c r="D61" s="394" t="s">
        <v>85</v>
      </c>
      <c r="E61" s="416" t="s">
        <v>253</v>
      </c>
      <c r="F61" s="402"/>
    </row>
    <row r="62" spans="1:11" ht="12.6" customHeight="1">
      <c r="A62" s="394"/>
      <c r="B62" s="632" t="str">
        <f>B6</f>
        <v>Officers</v>
      </c>
      <c r="C62" s="394"/>
      <c r="D62" s="394"/>
      <c r="E62" s="416"/>
      <c r="F62" s="402"/>
    </row>
    <row r="63" spans="1:11" ht="15" customHeight="1">
      <c r="A63" s="394">
        <f>A62+1</f>
        <v>1</v>
      </c>
      <c r="B63" s="632" t="str">
        <f>B7</f>
        <v>Md. Yousuf Ali</v>
      </c>
      <c r="C63" s="415" t="str">
        <f>C7</f>
        <v>SPO &amp; Manager</v>
      </c>
      <c r="D63" s="631">
        <f>'RPB Salary  August 2021'!AB10</f>
        <v>6910</v>
      </c>
      <c r="E63" s="651" t="s">
        <v>470</v>
      </c>
      <c r="F63" s="387"/>
    </row>
    <row r="64" spans="1:11" ht="14.25" customHeight="1">
      <c r="A64" s="394">
        <f t="shared" ref="A64:A73" si="5">A63+1</f>
        <v>2</v>
      </c>
      <c r="B64" s="632" t="str">
        <f>B8</f>
        <v>Md.Abul Kalam</v>
      </c>
      <c r="C64" s="394" t="s">
        <v>236</v>
      </c>
      <c r="D64" s="631">
        <f>'RPB Salary  August 2021'!AB11</f>
        <v>3025</v>
      </c>
      <c r="E64" s="652" t="s">
        <v>438</v>
      </c>
      <c r="F64" s="387"/>
      <c r="H64" s="414"/>
      <c r="I64" s="412"/>
      <c r="J64" s="412"/>
      <c r="K64" s="411"/>
    </row>
    <row r="65" spans="1:11" ht="14.25" customHeight="1">
      <c r="A65" s="394">
        <f t="shared" si="5"/>
        <v>3</v>
      </c>
      <c r="B65" s="632" t="str">
        <f>B9</f>
        <v>Md Zinnatul Alam</v>
      </c>
      <c r="C65" s="394" t="s">
        <v>236</v>
      </c>
      <c r="D65" s="631">
        <f>'RPB Salary  August 2021'!AB12</f>
        <v>3200</v>
      </c>
      <c r="E65" s="652" t="s">
        <v>416</v>
      </c>
      <c r="F65" s="387"/>
      <c r="H65" s="414"/>
      <c r="I65" s="412"/>
      <c r="J65" s="412"/>
      <c r="K65" s="411"/>
    </row>
    <row r="66" spans="1:11" ht="13.5" customHeight="1">
      <c r="A66" s="394">
        <f t="shared" si="5"/>
        <v>4</v>
      </c>
      <c r="B66" s="632" t="str">
        <f>B10</f>
        <v>MD.Shahjahan Kabir</v>
      </c>
      <c r="C66" s="394" t="s">
        <v>7</v>
      </c>
      <c r="D66" s="631">
        <f>'RPB Salary  August 2021'!AB13</f>
        <v>3200</v>
      </c>
      <c r="E66" s="670" t="s">
        <v>474</v>
      </c>
      <c r="F66" s="387"/>
      <c r="I66" s="413"/>
      <c r="J66" s="412"/>
      <c r="K66" s="411"/>
    </row>
    <row r="67" spans="1:11" ht="13.5" customHeight="1">
      <c r="A67" s="394">
        <f t="shared" si="5"/>
        <v>5</v>
      </c>
      <c r="B67" s="632" t="str">
        <f>B12</f>
        <v>Khadiza Begum</v>
      </c>
      <c r="C67" s="394" t="s">
        <v>179</v>
      </c>
      <c r="D67" s="631">
        <f>'RPB Salary  August 2021'!AB15</f>
        <v>3144</v>
      </c>
      <c r="E67" s="651" t="s">
        <v>411</v>
      </c>
      <c r="F67" s="387"/>
      <c r="I67" s="413"/>
      <c r="J67" s="412"/>
      <c r="K67" s="411"/>
    </row>
    <row r="68" spans="1:11" ht="13.5" customHeight="1">
      <c r="A68" s="643" t="s">
        <v>282</v>
      </c>
      <c r="B68" s="632" t="str">
        <f>B14</f>
        <v>Sub Total</v>
      </c>
      <c r="C68" s="394"/>
      <c r="D68" s="631">
        <f>SUM(D63:D67)</f>
        <v>19479</v>
      </c>
      <c r="E68" s="409"/>
      <c r="F68" s="387"/>
      <c r="I68" s="413"/>
      <c r="J68" s="412"/>
      <c r="K68" s="411"/>
    </row>
    <row r="69" spans="1:11" ht="13.5" customHeight="1">
      <c r="A69" s="394"/>
      <c r="B69" s="632" t="str">
        <f>B15</f>
        <v>Staff</v>
      </c>
      <c r="C69" s="394"/>
      <c r="D69" s="394"/>
      <c r="E69" s="409"/>
      <c r="F69" s="387"/>
      <c r="I69" s="413"/>
      <c r="J69" s="412"/>
      <c r="K69" s="411"/>
    </row>
    <row r="70" spans="1:11" ht="13.5" customHeight="1">
      <c r="A70" s="394">
        <f t="shared" si="5"/>
        <v>1</v>
      </c>
      <c r="B70" s="632" t="str">
        <f>B16</f>
        <v>Md. Abul Kashem Miah</v>
      </c>
      <c r="C70" s="394" t="str">
        <f>C16</f>
        <v>SSG-1</v>
      </c>
      <c r="D70" s="631">
        <f>'RPB Salary  August 2021'!AB20</f>
        <v>3144</v>
      </c>
      <c r="E70" s="620" t="s">
        <v>412</v>
      </c>
      <c r="F70" s="387"/>
      <c r="I70" s="413"/>
      <c r="J70" s="412"/>
      <c r="K70" s="411"/>
    </row>
    <row r="71" spans="1:11" ht="13.5" customHeight="1">
      <c r="A71" s="394">
        <f>A70+1</f>
        <v>2</v>
      </c>
      <c r="B71" s="632" t="str">
        <f t="shared" ref="B71:B73" si="6">B17</f>
        <v>Md.Shahabuddin</v>
      </c>
      <c r="C71" s="394" t="str">
        <f t="shared" ref="C71:C73" si="7">C17</f>
        <v>SSG-2</v>
      </c>
      <c r="D71" s="631">
        <f>'RPB Salary  August 2021'!AB21</f>
        <v>3144</v>
      </c>
      <c r="E71" s="641" t="s">
        <v>413</v>
      </c>
      <c r="F71" s="387"/>
      <c r="I71" s="413"/>
      <c r="J71" s="412"/>
      <c r="K71" s="411"/>
    </row>
    <row r="72" spans="1:11" ht="13.5" customHeight="1">
      <c r="A72" s="394">
        <f t="shared" si="5"/>
        <v>3</v>
      </c>
      <c r="B72" s="632" t="str">
        <f t="shared" si="6"/>
        <v>Md. Abdur Razzaque</v>
      </c>
      <c r="C72" s="394" t="str">
        <f t="shared" si="7"/>
        <v>SSG-2</v>
      </c>
      <c r="D72" s="631">
        <f>'RPB Salary  August 2021'!AB22</f>
        <v>3025</v>
      </c>
      <c r="E72" s="669" t="s">
        <v>285</v>
      </c>
      <c r="F72" s="387"/>
      <c r="I72" s="413"/>
      <c r="J72" s="412"/>
      <c r="K72" s="411"/>
    </row>
    <row r="73" spans="1:11" ht="13.5" customHeight="1">
      <c r="A73" s="394">
        <f t="shared" si="5"/>
        <v>4</v>
      </c>
      <c r="B73" s="632" t="str">
        <f t="shared" si="6"/>
        <v>Md Ezazul Haque Sarkar</v>
      </c>
      <c r="C73" s="394" t="str">
        <f t="shared" si="7"/>
        <v>SSG-2</v>
      </c>
      <c r="D73" s="631">
        <f>'RPB Salary  August 2021'!AB23</f>
        <v>3144</v>
      </c>
      <c r="E73" s="620" t="s">
        <v>417</v>
      </c>
      <c r="F73" s="387"/>
      <c r="I73" s="413"/>
      <c r="J73" s="412"/>
      <c r="K73" s="411"/>
    </row>
    <row r="74" spans="1:11">
      <c r="A74" s="643" t="s">
        <v>261</v>
      </c>
      <c r="B74" s="394" t="s">
        <v>397</v>
      </c>
      <c r="C74" s="410"/>
      <c r="D74" s="640">
        <f>SUM(D70:D73)</f>
        <v>12457</v>
      </c>
      <c r="E74" s="409"/>
      <c r="F74" s="387"/>
    </row>
    <row r="75" spans="1:11">
      <c r="A75" s="448" t="s">
        <v>399</v>
      </c>
      <c r="B75" s="393" t="s">
        <v>418</v>
      </c>
      <c r="C75" s="393"/>
      <c r="D75" s="642">
        <f>D68+D74</f>
        <v>31936</v>
      </c>
      <c r="E75" s="393"/>
    </row>
    <row r="76" spans="1:11" ht="18">
      <c r="A76" s="806" t="s">
        <v>252</v>
      </c>
      <c r="B76" s="806"/>
      <c r="C76" s="806"/>
      <c r="D76" s="806"/>
      <c r="E76" s="806"/>
      <c r="F76" s="408"/>
    </row>
    <row r="77" spans="1:11">
      <c r="A77" s="807" t="str">
        <f>A57</f>
        <v>Rangpur Branch,Rangpur.</v>
      </c>
      <c r="B77" s="807"/>
      <c r="C77" s="807"/>
      <c r="D77" s="807"/>
      <c r="E77" s="807"/>
      <c r="F77" s="407"/>
    </row>
    <row r="78" spans="1:11">
      <c r="A78" s="807" t="s">
        <v>250</v>
      </c>
      <c r="B78" s="807"/>
      <c r="C78" s="807"/>
      <c r="D78" s="807"/>
      <c r="E78" s="807"/>
      <c r="F78" s="407"/>
    </row>
    <row r="79" spans="1:11">
      <c r="A79" s="808" t="s">
        <v>487</v>
      </c>
      <c r="B79" s="808"/>
      <c r="C79" s="808"/>
      <c r="D79" s="808"/>
      <c r="E79" s="808"/>
      <c r="F79" s="406"/>
    </row>
    <row r="80" spans="1:11">
      <c r="A80" s="405"/>
      <c r="B80" s="404"/>
      <c r="C80" s="404"/>
      <c r="D80" s="404"/>
    </row>
    <row r="81" spans="1:6" ht="21">
      <c r="A81" s="394" t="s">
        <v>249</v>
      </c>
      <c r="B81" s="394" t="s">
        <v>248</v>
      </c>
      <c r="C81" s="394" t="s">
        <v>93</v>
      </c>
      <c r="D81" s="394" t="s">
        <v>85</v>
      </c>
      <c r="E81" s="403" t="s">
        <v>247</v>
      </c>
      <c r="F81" s="402"/>
    </row>
    <row r="82" spans="1:6">
      <c r="A82" s="394"/>
      <c r="B82" s="631" t="str">
        <f>B6</f>
        <v>Officers</v>
      </c>
      <c r="C82" s="394"/>
      <c r="D82" s="394"/>
      <c r="E82" s="403"/>
      <c r="F82" s="402"/>
    </row>
    <row r="83" spans="1:6" ht="12.75" customHeight="1">
      <c r="A83" s="399">
        <v>1</v>
      </c>
      <c r="B83" s="631" t="str">
        <f>B8</f>
        <v>Md.Abul Kalam</v>
      </c>
      <c r="C83" s="400" t="s">
        <v>236</v>
      </c>
      <c r="D83" s="631">
        <f>'RPB Salary  August 2021'!AC11</f>
        <v>1130</v>
      </c>
      <c r="E83" s="620" t="s">
        <v>439</v>
      </c>
      <c r="F83" s="395"/>
    </row>
    <row r="84" spans="1:6" ht="12" customHeight="1">
      <c r="A84" s="399">
        <f>A83+1</f>
        <v>2</v>
      </c>
      <c r="B84" s="631" t="str">
        <f>B10</f>
        <v>MD.Shahjahan Kabir</v>
      </c>
      <c r="C84" s="397" t="s">
        <v>7</v>
      </c>
      <c r="D84" s="631">
        <f>'RPB Salary  August 2021'!AC13</f>
        <v>1600</v>
      </c>
      <c r="E84" s="671" t="s">
        <v>471</v>
      </c>
      <c r="F84" s="395"/>
    </row>
    <row r="85" spans="1:6" ht="12" customHeight="1">
      <c r="A85" s="399">
        <f t="shared" ref="A85" si="8">A84+1</f>
        <v>3</v>
      </c>
      <c r="B85" s="631" t="str">
        <f>B12</f>
        <v>Khadiza Begum</v>
      </c>
      <c r="C85" s="397" t="s">
        <v>179</v>
      </c>
      <c r="D85" s="631">
        <f>'RPB Salary  August 2021'!AC15</f>
        <v>1100</v>
      </c>
      <c r="E85" s="620" t="s">
        <v>414</v>
      </c>
      <c r="F85" s="395"/>
    </row>
    <row r="86" spans="1:6" ht="12" customHeight="1">
      <c r="A86" s="644" t="s">
        <v>282</v>
      </c>
      <c r="B86" s="631" t="str">
        <f>B14</f>
        <v>Sub Total</v>
      </c>
      <c r="C86" s="397"/>
      <c r="D86" s="631">
        <f>SUM(D83:D85)</f>
        <v>3830</v>
      </c>
      <c r="E86" s="620"/>
      <c r="F86" s="395"/>
    </row>
    <row r="87" spans="1:6" ht="12" customHeight="1">
      <c r="A87" s="399"/>
      <c r="B87" s="631" t="str">
        <f>B15</f>
        <v>Staff</v>
      </c>
      <c r="C87" s="397"/>
      <c r="D87" s="394"/>
      <c r="E87" s="396"/>
      <c r="F87" s="395"/>
    </row>
    <row r="88" spans="1:6" ht="12" customHeight="1">
      <c r="A88" s="399">
        <v>1</v>
      </c>
      <c r="B88" s="631" t="str">
        <f>B16</f>
        <v>Md. Abul Kashem Miah</v>
      </c>
      <c r="C88" s="397" t="s">
        <v>62</v>
      </c>
      <c r="D88" s="631">
        <f>'RPB Salary  August 2021'!AC20</f>
        <v>1100</v>
      </c>
      <c r="E88" s="620" t="s">
        <v>410</v>
      </c>
      <c r="F88" s="395"/>
    </row>
    <row r="89" spans="1:6" ht="12" customHeight="1">
      <c r="A89" s="399">
        <f>A88+1</f>
        <v>2</v>
      </c>
      <c r="B89" s="631" t="str">
        <f>B18</f>
        <v>Md. Abdur Razzaque</v>
      </c>
      <c r="C89" s="397" t="s">
        <v>62</v>
      </c>
      <c r="D89" s="631">
        <f>'RPB Salary  August 2021'!AC21</f>
        <v>0</v>
      </c>
      <c r="E89" s="620" t="s">
        <v>415</v>
      </c>
      <c r="F89" s="395"/>
    </row>
    <row r="90" spans="1:6" ht="12" customHeight="1">
      <c r="A90" s="399">
        <f>A89+1</f>
        <v>3</v>
      </c>
      <c r="B90" s="631" t="str">
        <f>B19</f>
        <v>Md Ezazul Haque Sarkar</v>
      </c>
      <c r="C90" s="397" t="s">
        <v>62</v>
      </c>
      <c r="D90" s="631">
        <f>'RPB Salary  August 2021'!AC23</f>
        <v>1100</v>
      </c>
      <c r="E90" s="620" t="s">
        <v>475</v>
      </c>
      <c r="F90" s="395"/>
    </row>
    <row r="91" spans="1:6" ht="12" customHeight="1">
      <c r="A91" s="644" t="s">
        <v>261</v>
      </c>
      <c r="B91" s="631" t="str">
        <f>B20</f>
        <v>Sub TOTAL</v>
      </c>
      <c r="C91" s="397"/>
      <c r="D91" s="631">
        <f>SUM(D88:D90)</f>
        <v>2200</v>
      </c>
      <c r="E91" s="396"/>
      <c r="F91" s="395"/>
    </row>
    <row r="92" spans="1:6" ht="12.75" customHeight="1">
      <c r="A92" s="645" t="s">
        <v>399</v>
      </c>
      <c r="B92" s="394" t="s">
        <v>419</v>
      </c>
      <c r="C92" s="393"/>
      <c r="D92" s="640">
        <f>D86+D91</f>
        <v>6030</v>
      </c>
      <c r="E92" s="392"/>
      <c r="F92" s="387"/>
    </row>
    <row r="93" spans="1:6" ht="12.75" customHeight="1">
      <c r="A93" s="658"/>
      <c r="B93" s="389"/>
      <c r="D93" s="659"/>
      <c r="E93" s="387"/>
      <c r="F93" s="387"/>
    </row>
    <row r="94" spans="1:6" ht="12.75" customHeight="1">
      <c r="A94" s="658"/>
      <c r="B94" s="389"/>
      <c r="D94" s="659"/>
      <c r="E94" s="387"/>
      <c r="F94" s="387"/>
    </row>
    <row r="95" spans="1:6" ht="12.75" customHeight="1">
      <c r="A95" s="658"/>
      <c r="B95" s="389"/>
      <c r="D95" s="659"/>
      <c r="E95" s="387"/>
      <c r="F95" s="387"/>
    </row>
    <row r="96" spans="1:6" ht="12.75" customHeight="1">
      <c r="A96" s="658"/>
      <c r="B96" s="389"/>
      <c r="D96" s="659"/>
      <c r="E96" s="387"/>
      <c r="F96" s="387"/>
    </row>
    <row r="97" spans="1:6" ht="12.75" customHeight="1">
      <c r="A97" s="658"/>
      <c r="B97" s="389"/>
      <c r="D97" s="659"/>
      <c r="E97" s="387"/>
      <c r="F97" s="387"/>
    </row>
    <row r="98" spans="1:6" ht="42" customHeight="1">
      <c r="A98" s="712" t="s">
        <v>488</v>
      </c>
      <c r="B98" s="815" t="s">
        <v>489</v>
      </c>
      <c r="C98" s="815"/>
      <c r="D98" s="779" t="s">
        <v>461</v>
      </c>
      <c r="E98" s="779"/>
      <c r="F98" s="387"/>
    </row>
    <row r="99" spans="1:6" ht="12.75" customHeight="1">
      <c r="A99" s="658"/>
      <c r="B99" s="389"/>
      <c r="D99" s="659"/>
      <c r="E99" s="387"/>
      <c r="F99" s="387"/>
    </row>
    <row r="100" spans="1:6" ht="12.75" customHeight="1">
      <c r="A100" s="658"/>
      <c r="B100" s="389"/>
      <c r="D100" s="659"/>
      <c r="E100" s="387"/>
      <c r="F100" s="387"/>
    </row>
    <row r="101" spans="1:6" ht="12.75" customHeight="1">
      <c r="A101" s="658"/>
      <c r="B101" s="389"/>
      <c r="D101" s="659"/>
      <c r="E101" s="387"/>
      <c r="F101" s="387"/>
    </row>
    <row r="102" spans="1:6" ht="12.75" customHeight="1">
      <c r="A102" s="658"/>
      <c r="B102" s="389"/>
      <c r="D102" s="659"/>
      <c r="E102" s="387"/>
      <c r="F102" s="387"/>
    </row>
    <row r="103" spans="1:6" ht="12.75" customHeight="1">
      <c r="A103" s="658"/>
      <c r="B103" s="389"/>
      <c r="D103" s="659"/>
      <c r="E103" s="387"/>
      <c r="F103" s="387"/>
    </row>
    <row r="104" spans="1:6" ht="12.75" customHeight="1">
      <c r="A104" s="658"/>
      <c r="B104" s="389"/>
      <c r="D104" s="659"/>
      <c r="E104" s="387"/>
      <c r="F104" s="387"/>
    </row>
    <row r="105" spans="1:6" ht="12.75" customHeight="1">
      <c r="A105" s="658"/>
      <c r="B105" s="389"/>
      <c r="D105" s="659"/>
      <c r="E105" s="387"/>
      <c r="F105" s="387"/>
    </row>
    <row r="106" spans="1:6" ht="12.75" customHeight="1">
      <c r="A106" s="658"/>
      <c r="B106" s="389"/>
      <c r="D106" s="659"/>
      <c r="E106" s="387"/>
      <c r="F106" s="387"/>
    </row>
    <row r="107" spans="1:6" ht="12.75" customHeight="1">
      <c r="A107" s="658"/>
      <c r="B107" s="389"/>
      <c r="D107" s="659"/>
      <c r="E107" s="387"/>
      <c r="F107" s="387"/>
    </row>
    <row r="108" spans="1:6" ht="12.75" customHeight="1">
      <c r="A108" s="658"/>
      <c r="B108" s="389"/>
      <c r="D108" s="659"/>
      <c r="E108" s="387"/>
      <c r="F108" s="387"/>
    </row>
    <row r="109" spans="1:6" ht="12.75" customHeight="1">
      <c r="A109" s="658"/>
      <c r="B109" s="389"/>
      <c r="D109" s="659"/>
      <c r="E109" s="387"/>
      <c r="F109" s="387"/>
    </row>
    <row r="110" spans="1:6" ht="12.75" customHeight="1">
      <c r="A110" s="658"/>
      <c r="B110" s="389"/>
      <c r="D110" s="659"/>
      <c r="E110" s="387"/>
      <c r="F110" s="387"/>
    </row>
    <row r="111" spans="1:6" ht="12.75" customHeight="1">
      <c r="A111" s="658"/>
      <c r="B111" s="389"/>
      <c r="D111" s="659"/>
      <c r="E111" s="387"/>
      <c r="F111" s="387"/>
    </row>
    <row r="112" spans="1:6" ht="12.75" customHeight="1">
      <c r="A112" s="658"/>
      <c r="B112" s="389"/>
      <c r="D112" s="659"/>
      <c r="E112" s="387"/>
      <c r="F112" s="387"/>
    </row>
    <row r="113" spans="1:6" ht="12.75" customHeight="1">
      <c r="A113" s="658"/>
      <c r="B113" s="389"/>
      <c r="D113" s="659"/>
      <c r="E113" s="387"/>
      <c r="F113" s="387"/>
    </row>
    <row r="114" spans="1:6" ht="12.75" customHeight="1">
      <c r="A114" s="658"/>
      <c r="B114" s="389"/>
      <c r="D114" s="659"/>
      <c r="E114" s="387"/>
      <c r="F114" s="387"/>
    </row>
    <row r="115" spans="1:6" ht="12.75" customHeight="1">
      <c r="A115" s="658"/>
      <c r="B115" s="389"/>
      <c r="D115" s="659"/>
      <c r="E115" s="387"/>
      <c r="F115" s="387"/>
    </row>
    <row r="116" spans="1:6" ht="12.75" customHeight="1">
      <c r="A116" s="658"/>
      <c r="B116" s="389"/>
      <c r="D116" s="659"/>
      <c r="E116" s="387"/>
      <c r="F116" s="387"/>
    </row>
    <row r="117" spans="1:6" ht="12.75" customHeight="1">
      <c r="A117" s="658"/>
      <c r="B117" s="389"/>
      <c r="D117" s="659"/>
      <c r="E117" s="387"/>
      <c r="F117" s="387"/>
    </row>
    <row r="118" spans="1:6" ht="12.75" customHeight="1">
      <c r="A118" s="806"/>
      <c r="B118" s="806"/>
      <c r="C118" s="806"/>
      <c r="D118" s="806"/>
      <c r="E118" s="806"/>
      <c r="F118" s="387"/>
    </row>
    <row r="119" spans="1:6" ht="12.75" customHeight="1">
      <c r="A119" s="807"/>
      <c r="B119" s="807"/>
      <c r="C119" s="807"/>
      <c r="D119" s="807"/>
      <c r="E119" s="807"/>
      <c r="F119" s="387"/>
    </row>
    <row r="120" spans="1:6" ht="12.75" customHeight="1">
      <c r="A120" s="807"/>
      <c r="B120" s="807"/>
      <c r="C120" s="807"/>
      <c r="D120" s="807"/>
      <c r="E120" s="807"/>
      <c r="F120" s="387"/>
    </row>
    <row r="121" spans="1:6" ht="12.75" customHeight="1">
      <c r="A121" s="808"/>
      <c r="B121" s="808"/>
      <c r="C121" s="808"/>
      <c r="D121" s="808"/>
      <c r="E121" s="808"/>
      <c r="F121" s="387"/>
    </row>
    <row r="122" spans="1:6" ht="12.75" customHeight="1">
      <c r="A122" s="658"/>
      <c r="B122" s="389"/>
      <c r="D122" s="659"/>
      <c r="E122" s="387"/>
      <c r="F122" s="387"/>
    </row>
    <row r="123" spans="1:6" ht="12.75" customHeight="1">
      <c r="A123" s="394"/>
      <c r="B123" s="394"/>
      <c r="C123" s="394"/>
      <c r="D123" s="394"/>
      <c r="E123" s="403"/>
      <c r="F123" s="387"/>
    </row>
    <row r="124" spans="1:6" ht="12.75" customHeight="1">
      <c r="A124" s="394"/>
      <c r="B124" s="631"/>
      <c r="C124" s="394"/>
      <c r="D124" s="660"/>
      <c r="E124" s="403"/>
      <c r="F124" s="387"/>
    </row>
    <row r="125" spans="1:6" ht="12.75" customHeight="1">
      <c r="A125" s="399"/>
      <c r="B125" s="631"/>
      <c r="C125" s="401"/>
      <c r="D125" s="631"/>
      <c r="E125" s="636"/>
      <c r="F125" s="387"/>
    </row>
    <row r="126" spans="1:6" ht="12.75" customHeight="1">
      <c r="A126" s="658"/>
      <c r="B126" s="389"/>
      <c r="D126" s="659"/>
      <c r="E126" s="387"/>
      <c r="F126" s="387"/>
    </row>
    <row r="127" spans="1:6" ht="12.75" customHeight="1">
      <c r="A127" s="658"/>
      <c r="B127" s="389"/>
      <c r="D127" s="659"/>
      <c r="E127" s="387"/>
      <c r="F127" s="387"/>
    </row>
    <row r="128" spans="1:6" ht="12.75" customHeight="1">
      <c r="A128" s="658"/>
      <c r="B128" s="389"/>
      <c r="D128" s="659" t="s">
        <v>6</v>
      </c>
      <c r="E128" s="387"/>
      <c r="F128" s="387"/>
    </row>
    <row r="129" spans="1:6" ht="12.75" customHeight="1">
      <c r="A129" s="658"/>
      <c r="B129" s="389"/>
      <c r="D129" s="659"/>
      <c r="E129" s="387"/>
      <c r="F129" s="387"/>
    </row>
    <row r="130" spans="1:6" ht="12.75" customHeight="1">
      <c r="A130" s="658"/>
      <c r="B130" s="389"/>
      <c r="D130" s="659"/>
      <c r="E130" s="387"/>
      <c r="F130" s="387"/>
    </row>
    <row r="131" spans="1:6" ht="16.5" customHeight="1">
      <c r="A131" s="390"/>
      <c r="B131" s="389"/>
      <c r="D131" s="388"/>
      <c r="E131" s="387"/>
      <c r="F131" s="387"/>
    </row>
    <row r="132" spans="1:6" ht="34.9" customHeight="1">
      <c r="A132" s="391"/>
      <c r="B132" s="647" t="s">
        <v>423</v>
      </c>
      <c r="C132" s="646" t="s">
        <v>424</v>
      </c>
      <c r="D132" s="779" t="s">
        <v>425</v>
      </c>
      <c r="E132" s="779"/>
      <c r="F132" s="387"/>
    </row>
    <row r="133" spans="1:6" ht="18.75" customHeight="1">
      <c r="A133" s="390"/>
      <c r="B133" s="389"/>
      <c r="D133" s="388"/>
      <c r="E133" s="387"/>
      <c r="F133" s="387"/>
    </row>
    <row r="134" spans="1:6" ht="18.75" customHeight="1">
      <c r="A134" s="390"/>
      <c r="B134" s="389"/>
      <c r="D134" s="388"/>
      <c r="E134" s="387"/>
      <c r="F134" s="387"/>
    </row>
    <row r="135" spans="1:6" ht="18.75" customHeight="1">
      <c r="A135" s="390"/>
      <c r="B135" s="389"/>
      <c r="D135" s="388"/>
      <c r="E135" s="387"/>
      <c r="F135" s="387"/>
    </row>
    <row r="136" spans="1:6" ht="18.75" customHeight="1">
      <c r="A136" s="390"/>
      <c r="B136" s="389"/>
      <c r="D136" s="388"/>
      <c r="E136" s="387"/>
      <c r="F136" s="387"/>
    </row>
    <row r="137" spans="1:6" ht="18.75" customHeight="1">
      <c r="A137" s="390"/>
      <c r="B137" s="389"/>
      <c r="D137" s="388"/>
      <c r="E137" s="387"/>
      <c r="F137" s="387"/>
    </row>
    <row r="138" spans="1:6" ht="18.75" customHeight="1">
      <c r="A138" s="390"/>
      <c r="B138" s="389"/>
      <c r="D138" s="388"/>
      <c r="E138" s="387"/>
      <c r="F138" s="387"/>
    </row>
    <row r="139" spans="1:6" ht="18.75" customHeight="1">
      <c r="A139" s="390"/>
      <c r="B139" s="389"/>
      <c r="D139" s="388"/>
      <c r="E139" s="387"/>
      <c r="F139" s="387"/>
    </row>
  </sheetData>
  <mergeCells count="25">
    <mergeCell ref="B14:C14"/>
    <mergeCell ref="B21:C21"/>
    <mergeCell ref="D132:E132"/>
    <mergeCell ref="A118:E118"/>
    <mergeCell ref="A119:E119"/>
    <mergeCell ref="A120:E120"/>
    <mergeCell ref="A121:E121"/>
    <mergeCell ref="D98:E98"/>
    <mergeCell ref="B98:C98"/>
    <mergeCell ref="A1:E1"/>
    <mergeCell ref="A2:E2"/>
    <mergeCell ref="A3:E3"/>
    <mergeCell ref="A56:E56"/>
    <mergeCell ref="A79:E79"/>
    <mergeCell ref="A58:E58"/>
    <mergeCell ref="A59:E59"/>
    <mergeCell ref="A76:E76"/>
    <mergeCell ref="A77:E77"/>
    <mergeCell ref="A78:E78"/>
    <mergeCell ref="A57:E57"/>
    <mergeCell ref="A22:E22"/>
    <mergeCell ref="A23:E23"/>
    <mergeCell ref="A24:E24"/>
    <mergeCell ref="A25:E25"/>
    <mergeCell ref="B20:C20"/>
  </mergeCells>
  <pageMargins left="0.75" right="0.75" top="1" bottom="0.67" header="0.5" footer="0.5"/>
  <pageSetup paperSize="9" orientation="portrait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0000"/>
  </sheetPr>
  <dimension ref="A2:M55"/>
  <sheetViews>
    <sheetView view="pageBreakPreview" topLeftCell="A37" zoomScale="110" zoomScaleSheetLayoutView="110" workbookViewId="0">
      <selection activeCell="D28" sqref="D28"/>
    </sheetView>
  </sheetViews>
  <sheetFormatPr defaultColWidth="9.140625" defaultRowHeight="12.75"/>
  <cols>
    <col min="1" max="1" width="7.28515625" style="414" customWidth="1"/>
    <col min="2" max="2" width="54" style="414" customWidth="1"/>
    <col min="3" max="3" width="15.7109375" style="432" customWidth="1"/>
    <col min="4" max="4" width="14.42578125" style="414" customWidth="1"/>
    <col min="5" max="5" width="28.28515625" style="414" customWidth="1"/>
    <col min="6" max="6" width="11.28515625" style="414" customWidth="1"/>
    <col min="7" max="9" width="9.140625" style="414"/>
    <col min="10" max="10" width="30.140625" style="414" bestFit="1" customWidth="1"/>
    <col min="11" max="16384" width="9.140625" style="414"/>
  </cols>
  <sheetData>
    <row r="2" spans="1:10" ht="20.25" customHeight="1">
      <c r="A2" s="822" t="s">
        <v>252</v>
      </c>
      <c r="B2" s="823"/>
      <c r="C2" s="823"/>
      <c r="D2" s="824"/>
      <c r="E2" s="466"/>
      <c r="H2" s="433"/>
      <c r="I2" s="433"/>
      <c r="J2" s="433"/>
    </row>
    <row r="3" spans="1:10" ht="24" customHeight="1">
      <c r="A3" s="825" t="s">
        <v>426</v>
      </c>
      <c r="B3" s="826"/>
      <c r="C3" s="826"/>
      <c r="D3" s="827"/>
      <c r="E3" s="465"/>
      <c r="H3" s="433"/>
      <c r="I3" s="433"/>
      <c r="J3" s="433"/>
    </row>
    <row r="4" spans="1:10" ht="24" customHeight="1">
      <c r="A4" s="819" t="s">
        <v>490</v>
      </c>
      <c r="B4" s="820"/>
      <c r="C4" s="820"/>
      <c r="D4" s="821"/>
      <c r="E4" s="465"/>
      <c r="H4" s="433"/>
      <c r="I4" s="433"/>
      <c r="J4" s="433"/>
    </row>
    <row r="5" spans="1:10" ht="16.5" customHeight="1">
      <c r="A5" s="462"/>
      <c r="B5" s="461"/>
      <c r="C5" s="386"/>
      <c r="D5" s="464" t="s">
        <v>310</v>
      </c>
      <c r="E5" s="463"/>
      <c r="H5" s="433"/>
      <c r="I5" s="433"/>
      <c r="J5" s="433"/>
    </row>
    <row r="6" spans="1:10" ht="15" customHeight="1">
      <c r="A6" s="462"/>
      <c r="B6" s="461"/>
      <c r="C6" s="386"/>
      <c r="D6" s="446" t="s">
        <v>482</v>
      </c>
      <c r="E6" s="432"/>
      <c r="H6" s="433"/>
      <c r="I6" s="433"/>
      <c r="J6" s="433"/>
    </row>
    <row r="7" spans="1:10" ht="29.25" customHeight="1">
      <c r="A7" s="445" t="s">
        <v>309</v>
      </c>
      <c r="B7" s="460" t="s">
        <v>308</v>
      </c>
      <c r="C7" s="459" t="s">
        <v>113</v>
      </c>
      <c r="D7" s="459" t="s">
        <v>279</v>
      </c>
      <c r="E7" s="451"/>
      <c r="H7" s="433"/>
      <c r="I7" s="433"/>
      <c r="J7" s="433"/>
    </row>
    <row r="8" spans="1:10" ht="15.75" customHeight="1">
      <c r="A8" s="445">
        <v>1</v>
      </c>
      <c r="B8" s="410" t="s">
        <v>307</v>
      </c>
      <c r="C8" s="455" t="s">
        <v>306</v>
      </c>
      <c r="D8" s="663">
        <f>'RPB Salary  August 2021'!AJ25</f>
        <v>301883</v>
      </c>
      <c r="E8" s="451"/>
      <c r="F8" s="414" t="s">
        <v>305</v>
      </c>
      <c r="H8" s="433"/>
      <c r="I8" s="433"/>
      <c r="J8" s="433"/>
    </row>
    <row r="9" spans="1:10" ht="18" customHeight="1">
      <c r="A9" s="445">
        <f t="shared" ref="A9:A25" si="0">A8+1</f>
        <v>2</v>
      </c>
      <c r="B9" s="458" t="s">
        <v>304</v>
      </c>
      <c r="C9" s="455" t="s">
        <v>303</v>
      </c>
      <c r="D9" s="663">
        <f>'RPB Salary  August 2021'!AA25</f>
        <v>108009</v>
      </c>
      <c r="E9" s="451"/>
      <c r="H9" s="433"/>
      <c r="I9" s="433"/>
      <c r="J9" s="433"/>
    </row>
    <row r="10" spans="1:10" ht="19.5" customHeight="1">
      <c r="A10" s="445">
        <f t="shared" si="0"/>
        <v>3</v>
      </c>
      <c r="B10" s="410" t="s">
        <v>302</v>
      </c>
      <c r="C10" s="455" t="s">
        <v>301</v>
      </c>
      <c r="D10" s="663">
        <f>'RPB Salary  August 2021'!AB25</f>
        <v>31936</v>
      </c>
      <c r="E10" s="451"/>
      <c r="H10" s="433"/>
      <c r="I10" s="433"/>
      <c r="J10" s="433"/>
    </row>
    <row r="11" spans="1:10" ht="14.25" customHeight="1">
      <c r="A11" s="445">
        <f t="shared" si="0"/>
        <v>4</v>
      </c>
      <c r="B11" s="457" t="s">
        <v>300</v>
      </c>
      <c r="C11" s="455" t="s">
        <v>299</v>
      </c>
      <c r="D11" s="663">
        <f>'RPB Salary  August 2021'!AC25</f>
        <v>6030</v>
      </c>
      <c r="E11" s="451"/>
      <c r="H11" s="433"/>
      <c r="I11" s="433"/>
      <c r="J11" s="433"/>
    </row>
    <row r="12" spans="1:10" ht="14.25" customHeight="1">
      <c r="A12" s="445">
        <f t="shared" ref="A12:A21" si="1">A11+1</f>
        <v>5</v>
      </c>
      <c r="B12" s="457" t="s">
        <v>434</v>
      </c>
      <c r="C12" s="455" t="s">
        <v>15</v>
      </c>
      <c r="D12" s="663">
        <v>3000</v>
      </c>
      <c r="E12" s="451"/>
      <c r="H12" s="433"/>
      <c r="I12" s="433"/>
      <c r="J12" s="433"/>
    </row>
    <row r="13" spans="1:10" ht="18" customHeight="1">
      <c r="A13" s="445">
        <f t="shared" si="1"/>
        <v>6</v>
      </c>
      <c r="B13" s="393" t="s">
        <v>298</v>
      </c>
      <c r="C13" s="455" t="s">
        <v>17</v>
      </c>
      <c r="D13" s="663">
        <v>0</v>
      </c>
      <c r="E13" s="435"/>
      <c r="F13" s="414">
        <v>250</v>
      </c>
      <c r="H13" s="414">
        <v>250</v>
      </c>
    </row>
    <row r="14" spans="1:10" ht="18" customHeight="1">
      <c r="A14" s="445">
        <f t="shared" si="1"/>
        <v>7</v>
      </c>
      <c r="B14" s="393" t="s">
        <v>297</v>
      </c>
      <c r="C14" s="455" t="s">
        <v>17</v>
      </c>
      <c r="D14" s="663">
        <f>'RPB Salary  August 2021'!AD10+'RPB Salary  August 2021'!AD13+'RPB Salary  August 2021'!AD15+'RPB Salary  August 2021'!AD20+'RPB Salary  August 2021'!AD21+'RPB Salary  August 2021'!AD22+'RPB Salary  August 2021'!AD23</f>
        <v>1100</v>
      </c>
    </row>
    <row r="15" spans="1:10" ht="18" customHeight="1">
      <c r="A15" s="445">
        <f t="shared" si="1"/>
        <v>8</v>
      </c>
      <c r="B15" s="393" t="s">
        <v>296</v>
      </c>
      <c r="C15" s="455" t="s">
        <v>17</v>
      </c>
      <c r="D15" s="663">
        <f>'RPB Salary  August 2021'!AD11+'RPB Salary  August 2021'!AD12+'RPB Salary  August 2021'!AD14+'RPB Salary  August 2021'!AD16</f>
        <v>900</v>
      </c>
      <c r="E15" s="456"/>
      <c r="F15" s="414">
        <v>900</v>
      </c>
      <c r="G15" s="414" t="e">
        <f>F13+#REF!+F15</f>
        <v>#REF!</v>
      </c>
      <c r="H15" s="414">
        <v>900</v>
      </c>
    </row>
    <row r="16" spans="1:10" ht="18" customHeight="1">
      <c r="A16" s="445">
        <f t="shared" si="1"/>
        <v>9</v>
      </c>
      <c r="B16" s="393" t="s">
        <v>295</v>
      </c>
      <c r="C16" s="455" t="s">
        <v>187</v>
      </c>
      <c r="D16" s="663">
        <v>0</v>
      </c>
      <c r="E16" s="435"/>
      <c r="F16" s="414">
        <v>13520</v>
      </c>
      <c r="H16" s="414">
        <v>13520</v>
      </c>
    </row>
    <row r="17" spans="1:13" ht="18" customHeight="1">
      <c r="A17" s="445">
        <f t="shared" si="1"/>
        <v>10</v>
      </c>
      <c r="B17" s="393" t="s">
        <v>294</v>
      </c>
      <c r="C17" s="455" t="s">
        <v>186</v>
      </c>
      <c r="D17" s="663">
        <f>D21+D21</f>
        <v>27416</v>
      </c>
      <c r="E17" s="456"/>
      <c r="F17" s="414">
        <v>24142</v>
      </c>
      <c r="H17" s="414">
        <v>24142</v>
      </c>
    </row>
    <row r="18" spans="1:13" ht="18" customHeight="1">
      <c r="A18" s="445">
        <f t="shared" si="1"/>
        <v>11</v>
      </c>
      <c r="B18" s="393" t="s">
        <v>293</v>
      </c>
      <c r="C18" s="455" t="s">
        <v>15</v>
      </c>
      <c r="D18" s="663">
        <f>'RPB Salary  August 2021'!Y10+'RPB Salary  August 2021'!Y13+'RPB Salary  August 2021'!Y15+'RPB Salary  August 2021'!Y24</f>
        <v>36221</v>
      </c>
      <c r="E18" s="435"/>
      <c r="F18" s="414">
        <v>16648</v>
      </c>
      <c r="G18" s="414">
        <f>F16+F17+F18</f>
        <v>54310</v>
      </c>
      <c r="H18" s="414">
        <v>16648</v>
      </c>
    </row>
    <row r="19" spans="1:13" ht="18" customHeight="1">
      <c r="A19" s="445">
        <f t="shared" si="1"/>
        <v>12</v>
      </c>
      <c r="B19" s="393" t="s">
        <v>292</v>
      </c>
      <c r="C19" s="455" t="s">
        <v>477</v>
      </c>
      <c r="D19" s="663">
        <v>0</v>
      </c>
      <c r="E19" s="455" t="s">
        <v>165</v>
      </c>
      <c r="F19" s="414">
        <v>22173</v>
      </c>
      <c r="H19" s="414">
        <v>22173</v>
      </c>
    </row>
    <row r="20" spans="1:13" ht="18" customHeight="1">
      <c r="A20" s="445">
        <f t="shared" si="1"/>
        <v>13</v>
      </c>
      <c r="B20" s="393" t="s">
        <v>291</v>
      </c>
      <c r="C20" s="455" t="s">
        <v>13</v>
      </c>
      <c r="D20" s="663">
        <f>'RPB Salary  August 2021'!T25</f>
        <v>82669</v>
      </c>
      <c r="E20" s="455" t="s">
        <v>165</v>
      </c>
      <c r="F20" s="414">
        <v>27302</v>
      </c>
      <c r="G20" s="414">
        <f>F19+F20</f>
        <v>49475</v>
      </c>
      <c r="H20" s="414">
        <v>27302</v>
      </c>
    </row>
    <row r="21" spans="1:13" ht="18" customHeight="1">
      <c r="A21" s="445">
        <f t="shared" si="1"/>
        <v>14</v>
      </c>
      <c r="B21" s="393" t="s">
        <v>290</v>
      </c>
      <c r="C21" s="455" t="s">
        <v>289</v>
      </c>
      <c r="D21" s="663">
        <f>'RPB Salary  August 2021'!S18</f>
        <v>13708</v>
      </c>
      <c r="E21" s="435"/>
      <c r="H21" s="414">
        <v>12071</v>
      </c>
    </row>
    <row r="22" spans="1:13" ht="18" customHeight="1">
      <c r="A22" s="445">
        <f t="shared" si="0"/>
        <v>15</v>
      </c>
      <c r="B22" s="393" t="s">
        <v>288</v>
      </c>
      <c r="C22" s="455" t="s">
        <v>287</v>
      </c>
      <c r="D22" s="701">
        <f>'RPB Salary  August 2021'!AE25</f>
        <v>18</v>
      </c>
      <c r="E22" s="435"/>
      <c r="H22" s="414">
        <v>18</v>
      </c>
    </row>
    <row r="23" spans="1:13" ht="18" customHeight="1">
      <c r="A23" s="445">
        <f t="shared" si="0"/>
        <v>16</v>
      </c>
      <c r="B23" s="393" t="s">
        <v>286</v>
      </c>
      <c r="C23" s="455" t="s">
        <v>285</v>
      </c>
      <c r="D23" s="701">
        <f>'RPB Salary  August 2021'!AH25</f>
        <v>110</v>
      </c>
      <c r="E23" s="414" t="s">
        <v>284</v>
      </c>
      <c r="H23" s="414">
        <v>70</v>
      </c>
    </row>
    <row r="24" spans="1:13" ht="18" customHeight="1">
      <c r="A24" s="445">
        <f t="shared" si="0"/>
        <v>17</v>
      </c>
      <c r="B24" s="386" t="s">
        <v>283</v>
      </c>
      <c r="C24" s="455" t="s">
        <v>156</v>
      </c>
      <c r="D24" s="701">
        <f>'RPB Salary  August 2021'!AF25</f>
        <v>2275</v>
      </c>
      <c r="E24" s="414" t="s">
        <v>283</v>
      </c>
      <c r="H24" s="414">
        <v>4235</v>
      </c>
    </row>
    <row r="25" spans="1:13" ht="18" customHeight="1">
      <c r="A25" s="445">
        <f t="shared" si="0"/>
        <v>18</v>
      </c>
      <c r="B25" s="386" t="s">
        <v>432</v>
      </c>
      <c r="C25" s="455" t="s">
        <v>165</v>
      </c>
      <c r="D25" s="663">
        <v>0</v>
      </c>
    </row>
    <row r="26" spans="1:13" ht="18" customHeight="1">
      <c r="A26" s="446">
        <v>1</v>
      </c>
      <c r="B26" s="393" t="s">
        <v>476</v>
      </c>
      <c r="C26" s="446" t="s">
        <v>11</v>
      </c>
      <c r="D26" s="663">
        <v>0</v>
      </c>
    </row>
    <row r="27" spans="1:13" ht="18" customHeight="1">
      <c r="A27" s="446"/>
      <c r="B27" s="393" t="s">
        <v>497</v>
      </c>
      <c r="C27" s="446" t="s">
        <v>498</v>
      </c>
      <c r="D27" s="663">
        <f>'RPB Salary  August 2021'!AG25</f>
        <v>255</v>
      </c>
    </row>
    <row r="28" spans="1:13" ht="18" customHeight="1">
      <c r="A28" s="445" t="s">
        <v>282</v>
      </c>
      <c r="B28" s="410" t="s">
        <v>281</v>
      </c>
      <c r="C28" s="443" t="s">
        <v>5</v>
      </c>
      <c r="D28" s="454">
        <f>SUM(D8:D27)</f>
        <v>615530</v>
      </c>
      <c r="E28" s="435">
        <f>623294-D28</f>
        <v>7764</v>
      </c>
      <c r="H28" s="414">
        <v>417768</v>
      </c>
    </row>
    <row r="29" spans="1:13" ht="18" customHeight="1">
      <c r="A29" s="410"/>
      <c r="B29" s="816" t="s">
        <v>499</v>
      </c>
      <c r="C29" s="817"/>
      <c r="D29" s="818"/>
      <c r="E29" s="435"/>
    </row>
    <row r="30" spans="1:13" ht="36.75" customHeight="1">
      <c r="A30" s="410"/>
      <c r="B30" s="453" t="s">
        <v>280</v>
      </c>
      <c r="C30" s="452" t="s">
        <v>113</v>
      </c>
      <c r="D30" s="452" t="s">
        <v>279</v>
      </c>
      <c r="E30" s="451"/>
      <c r="G30" s="433">
        <v>0</v>
      </c>
      <c r="J30" s="414" t="s">
        <v>278</v>
      </c>
      <c r="K30" s="434" t="e">
        <f>#REF!</f>
        <v>#REF!</v>
      </c>
      <c r="L30" s="433" t="e">
        <f>#REF!+#REF!+#REF!+#REF!</f>
        <v>#REF!</v>
      </c>
      <c r="M30" s="433" t="e">
        <f>+L30-K30-K55</f>
        <v>#REF!</v>
      </c>
    </row>
    <row r="31" spans="1:13" ht="18" customHeight="1">
      <c r="A31" s="446">
        <v>1</v>
      </c>
      <c r="B31" s="393" t="s">
        <v>277</v>
      </c>
      <c r="C31" s="446" t="s">
        <v>11</v>
      </c>
      <c r="D31" s="663">
        <f>'RPB Salary  August 2021'!I25</f>
        <v>338710</v>
      </c>
      <c r="E31" s="435"/>
      <c r="G31" s="433"/>
      <c r="K31" s="434"/>
      <c r="L31" s="433"/>
      <c r="M31" s="433"/>
    </row>
    <row r="32" spans="1:13" ht="18" customHeight="1">
      <c r="A32" s="446">
        <f t="shared" ref="A32:A41" si="2">A31+1</f>
        <v>2</v>
      </c>
      <c r="B32" s="393" t="s">
        <v>276</v>
      </c>
      <c r="C32" s="446" t="s">
        <v>275</v>
      </c>
      <c r="D32" s="664">
        <f>'RPB Salary  August 2021'!M25</f>
        <v>143035</v>
      </c>
      <c r="E32" s="447"/>
      <c r="G32" s="433"/>
      <c r="K32" s="434"/>
      <c r="L32" s="433"/>
      <c r="M32" s="433"/>
    </row>
    <row r="33" spans="1:13" ht="19.5" customHeight="1">
      <c r="A33" s="446">
        <f t="shared" si="2"/>
        <v>3</v>
      </c>
      <c r="B33" s="393" t="s">
        <v>274</v>
      </c>
      <c r="C33" s="446" t="s">
        <v>273</v>
      </c>
      <c r="D33" s="663">
        <f>'RPB Salary  August 2021'!N25</f>
        <v>16500</v>
      </c>
      <c r="E33" s="435"/>
      <c r="G33" s="433"/>
      <c r="K33" s="434"/>
      <c r="L33" s="433"/>
      <c r="M33" s="433"/>
    </row>
    <row r="34" spans="1:13" ht="17.25" customHeight="1">
      <c r="A34" s="446">
        <f t="shared" si="2"/>
        <v>4</v>
      </c>
      <c r="B34" s="393" t="s">
        <v>272</v>
      </c>
      <c r="C34" s="446" t="s">
        <v>271</v>
      </c>
      <c r="D34" s="663">
        <f>'RPB Salary  August 2021'!L25</f>
        <v>5000</v>
      </c>
      <c r="E34" s="435"/>
      <c r="G34" s="433"/>
      <c r="K34" s="434"/>
      <c r="L34" s="433"/>
      <c r="M34" s="433"/>
    </row>
    <row r="35" spans="1:13" ht="19.5" customHeight="1">
      <c r="A35" s="446">
        <f t="shared" si="2"/>
        <v>5</v>
      </c>
      <c r="B35" s="450" t="s">
        <v>270</v>
      </c>
      <c r="C35" s="446" t="s">
        <v>14</v>
      </c>
      <c r="D35" s="664">
        <f>'RPB Salary  August 2021'!T25</f>
        <v>82669</v>
      </c>
      <c r="E35" s="447"/>
      <c r="F35" s="414" t="s">
        <v>269</v>
      </c>
      <c r="G35" s="433"/>
      <c r="K35" s="434"/>
      <c r="L35" s="433"/>
      <c r="M35" s="433"/>
    </row>
    <row r="36" spans="1:13" ht="18" customHeight="1">
      <c r="A36" s="446">
        <f t="shared" si="2"/>
        <v>6</v>
      </c>
      <c r="B36" s="450" t="s">
        <v>268</v>
      </c>
      <c r="C36" s="446" t="s">
        <v>16</v>
      </c>
      <c r="D36" s="664">
        <f>'RPB Salary  August 2021'!S25</f>
        <v>13708</v>
      </c>
      <c r="E36" s="447"/>
      <c r="F36" s="414" t="s">
        <v>267</v>
      </c>
      <c r="G36" s="433"/>
      <c r="K36" s="434"/>
      <c r="L36" s="433"/>
      <c r="M36" s="433"/>
    </row>
    <row r="37" spans="1:13" ht="17.25" customHeight="1">
      <c r="A37" s="446">
        <f t="shared" si="2"/>
        <v>7</v>
      </c>
      <c r="B37" s="449" t="s">
        <v>266</v>
      </c>
      <c r="C37" s="446" t="s">
        <v>265</v>
      </c>
      <c r="D37" s="664">
        <f>'RPB Salary  August 2021'!U25</f>
        <v>13708</v>
      </c>
      <c r="E37" s="447"/>
      <c r="F37" s="414" t="s">
        <v>264</v>
      </c>
      <c r="G37" s="433"/>
      <c r="K37" s="434"/>
      <c r="L37" s="433"/>
      <c r="M37" s="433"/>
    </row>
    <row r="38" spans="1:13" ht="17.25" customHeight="1">
      <c r="A38" s="446">
        <f t="shared" si="2"/>
        <v>8</v>
      </c>
      <c r="B38" s="393" t="s">
        <v>263</v>
      </c>
      <c r="C38" s="446" t="s">
        <v>262</v>
      </c>
      <c r="D38" s="663">
        <f>'RPB Salary  August 2021'!K25</f>
        <v>200</v>
      </c>
      <c r="E38" s="435"/>
      <c r="G38" s="433"/>
      <c r="K38" s="434"/>
      <c r="L38" s="433"/>
      <c r="M38" s="433"/>
    </row>
    <row r="39" spans="1:13" ht="17.25" customHeight="1">
      <c r="A39" s="446">
        <f t="shared" si="2"/>
        <v>9</v>
      </c>
      <c r="B39" s="393" t="s">
        <v>428</v>
      </c>
      <c r="C39" s="446" t="s">
        <v>431</v>
      </c>
      <c r="D39" s="663">
        <f>'RPB Salary  August 2021'!O25</f>
        <v>1200</v>
      </c>
      <c r="E39" s="435"/>
      <c r="G39" s="433"/>
      <c r="K39" s="434"/>
      <c r="L39" s="433"/>
      <c r="M39" s="433"/>
    </row>
    <row r="40" spans="1:13" ht="17.25" customHeight="1">
      <c r="A40" s="446">
        <f t="shared" si="2"/>
        <v>10</v>
      </c>
      <c r="B40" s="393" t="s">
        <v>34</v>
      </c>
      <c r="C40" s="446" t="s">
        <v>429</v>
      </c>
      <c r="D40" s="663">
        <f>'RPB Salary  August 2021'!P25</f>
        <v>400</v>
      </c>
      <c r="E40" s="435"/>
      <c r="G40" s="433"/>
      <c r="K40" s="434"/>
      <c r="L40" s="433"/>
      <c r="M40" s="433"/>
    </row>
    <row r="41" spans="1:13" ht="17.25" customHeight="1">
      <c r="A41" s="446">
        <f t="shared" si="2"/>
        <v>11</v>
      </c>
      <c r="B41" s="393" t="s">
        <v>35</v>
      </c>
      <c r="C41" s="446" t="s">
        <v>430</v>
      </c>
      <c r="D41" s="663">
        <f>'RPB Salary  August 2021'!Q25</f>
        <v>400</v>
      </c>
      <c r="E41" s="435"/>
      <c r="G41" s="433"/>
      <c r="K41" s="434"/>
      <c r="L41" s="433"/>
      <c r="M41" s="433"/>
    </row>
    <row r="42" spans="1:13" ht="17.25" customHeight="1">
      <c r="A42" s="445" t="s">
        <v>261</v>
      </c>
      <c r="B42" s="444" t="s">
        <v>260</v>
      </c>
      <c r="C42" s="443" t="s">
        <v>5</v>
      </c>
      <c r="D42" s="442">
        <f>SUM(D31:D41)</f>
        <v>615530</v>
      </c>
      <c r="E42" s="438">
        <f>D42-D28</f>
        <v>0</v>
      </c>
      <c r="G42" s="433"/>
      <c r="K42" s="434"/>
      <c r="L42" s="433"/>
      <c r="M42" s="433"/>
    </row>
    <row r="43" spans="1:13" ht="17.25" customHeight="1">
      <c r="A43" s="436"/>
      <c r="B43" s="816" t="s">
        <v>500</v>
      </c>
      <c r="C43" s="817"/>
      <c r="D43" s="818"/>
      <c r="E43" s="438"/>
      <c r="G43" s="433"/>
      <c r="K43" s="434"/>
      <c r="L43" s="433"/>
      <c r="M43" s="433"/>
    </row>
    <row r="44" spans="1:13" ht="17.25" customHeight="1">
      <c r="A44" s="436"/>
      <c r="B44" s="440"/>
      <c r="C44" s="439"/>
      <c r="D44" s="438"/>
      <c r="E44" s="438"/>
      <c r="G44" s="433"/>
      <c r="K44" s="434"/>
      <c r="L44" s="433"/>
      <c r="M44" s="433"/>
    </row>
    <row r="45" spans="1:13" ht="17.25" customHeight="1">
      <c r="A45" s="436"/>
      <c r="B45" s="440"/>
      <c r="C45" s="439"/>
      <c r="D45" s="438"/>
      <c r="E45" s="438"/>
      <c r="G45" s="433"/>
      <c r="K45" s="434"/>
      <c r="L45" s="433"/>
      <c r="M45" s="433"/>
    </row>
    <row r="46" spans="1:13" ht="17.25" customHeight="1">
      <c r="A46" s="436"/>
      <c r="B46" s="440"/>
      <c r="C46" s="439"/>
      <c r="D46" s="438"/>
      <c r="E46" s="438"/>
      <c r="G46" s="433"/>
      <c r="K46" s="434"/>
      <c r="L46" s="433"/>
      <c r="M46" s="433"/>
    </row>
    <row r="47" spans="1:13" ht="17.25" customHeight="1">
      <c r="A47" s="436"/>
      <c r="B47" s="715" t="s">
        <v>491</v>
      </c>
      <c r="C47" s="715" t="s">
        <v>492</v>
      </c>
      <c r="D47" s="441"/>
      <c r="E47" s="441"/>
      <c r="G47" s="433"/>
      <c r="K47" s="434"/>
      <c r="L47" s="433"/>
      <c r="M47" s="433"/>
    </row>
    <row r="48" spans="1:13" ht="17.25" customHeight="1">
      <c r="A48" s="436"/>
      <c r="B48" s="828" t="s">
        <v>493</v>
      </c>
      <c r="C48" s="828"/>
      <c r="D48" s="828"/>
      <c r="E48" s="441"/>
      <c r="G48" s="433"/>
      <c r="K48" s="434"/>
      <c r="L48" s="433"/>
      <c r="M48" s="433"/>
    </row>
    <row r="49" spans="1:13" ht="17.25" customHeight="1">
      <c r="A49" s="436"/>
      <c r="B49" s="440"/>
      <c r="C49" s="439"/>
      <c r="D49" s="438"/>
      <c r="E49" s="438"/>
      <c r="G49" s="433"/>
      <c r="K49" s="434"/>
      <c r="L49" s="433"/>
      <c r="M49" s="433"/>
    </row>
    <row r="50" spans="1:13" ht="17.25" customHeight="1">
      <c r="A50" s="436"/>
      <c r="B50" s="829" t="s">
        <v>259</v>
      </c>
      <c r="C50" s="829"/>
      <c r="D50" s="829"/>
      <c r="E50" s="437"/>
      <c r="G50" s="433"/>
      <c r="K50" s="434"/>
      <c r="L50" s="433"/>
      <c r="M50" s="433"/>
    </row>
    <row r="51" spans="1:13" ht="17.25" customHeight="1">
      <c r="A51" s="436"/>
      <c r="B51" s="440"/>
      <c r="C51" s="439"/>
      <c r="D51" s="438"/>
      <c r="E51" s="438"/>
      <c r="G51" s="433"/>
      <c r="K51" s="434"/>
      <c r="L51" s="433"/>
      <c r="M51" s="433"/>
    </row>
    <row r="52" spans="1:13" ht="17.25" customHeight="1">
      <c r="A52" s="436"/>
      <c r="B52" s="829" t="s">
        <v>467</v>
      </c>
      <c r="C52" s="829"/>
      <c r="D52" s="829"/>
      <c r="E52" s="437"/>
      <c r="G52" s="433"/>
      <c r="K52" s="434"/>
      <c r="L52" s="433"/>
      <c r="M52" s="433"/>
    </row>
    <row r="53" spans="1:13" ht="17.25" customHeight="1">
      <c r="A53" s="436"/>
      <c r="B53" s="760" t="s">
        <v>462</v>
      </c>
      <c r="C53" s="760"/>
      <c r="D53" s="760"/>
      <c r="E53" s="436"/>
      <c r="G53" s="433"/>
      <c r="K53" s="434"/>
      <c r="L53" s="433"/>
      <c r="M53" s="433"/>
    </row>
    <row r="54" spans="1:13" ht="17.25" customHeight="1">
      <c r="A54" s="436"/>
      <c r="B54" s="430"/>
      <c r="C54" s="436"/>
      <c r="D54" s="435"/>
      <c r="E54" s="435"/>
      <c r="G54" s="433"/>
      <c r="K54" s="434"/>
      <c r="L54" s="433"/>
      <c r="M54" s="433"/>
    </row>
    <row r="55" spans="1:13" ht="18" customHeight="1">
      <c r="A55" s="430"/>
      <c r="C55" s="414"/>
      <c r="J55" s="414" t="s">
        <v>258</v>
      </c>
      <c r="K55" s="433" t="e">
        <f>#REF!</f>
        <v>#REF!</v>
      </c>
    </row>
  </sheetData>
  <mergeCells count="9">
    <mergeCell ref="B53:D53"/>
    <mergeCell ref="B43:D43"/>
    <mergeCell ref="B29:D29"/>
    <mergeCell ref="A4:D4"/>
    <mergeCell ref="A2:D2"/>
    <mergeCell ref="A3:D3"/>
    <mergeCell ref="B48:D48"/>
    <mergeCell ref="B50:D50"/>
    <mergeCell ref="B52:D52"/>
  </mergeCells>
  <printOptions horizontalCentered="1" verticalCentered="1"/>
  <pageMargins left="0.47" right="0.33" top="0.35" bottom="0.83" header="0.16" footer="0.19"/>
  <pageSetup paperSize="9" scale="85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R136"/>
  <sheetViews>
    <sheetView view="pageBreakPreview" topLeftCell="R1" zoomScaleSheetLayoutView="100" workbookViewId="0">
      <selection activeCell="AJ28" sqref="AJ28"/>
    </sheetView>
  </sheetViews>
  <sheetFormatPr defaultColWidth="9.140625" defaultRowHeight="23.25" customHeight="1"/>
  <cols>
    <col min="1" max="1" width="1.140625" style="304" customWidth="1"/>
    <col min="2" max="2" width="3.42578125" style="305" customWidth="1"/>
    <col min="3" max="3" width="7.7109375" style="304" customWidth="1"/>
    <col min="4" max="4" width="20.28515625" style="304" customWidth="1"/>
    <col min="5" max="5" width="14.140625" style="304" bestFit="1" customWidth="1"/>
    <col min="6" max="6" width="8.28515625" style="304" customWidth="1"/>
    <col min="7" max="7" width="9.5703125" style="307" customWidth="1"/>
    <col min="8" max="8" width="5.85546875" style="304" customWidth="1"/>
    <col min="9" max="9" width="8.85546875" style="304" customWidth="1"/>
    <col min="10" max="10" width="6.5703125" style="304" customWidth="1"/>
    <col min="11" max="11" width="6" style="304" customWidth="1"/>
    <col min="12" max="12" width="6.42578125" style="304" customWidth="1"/>
    <col min="13" max="13" width="8.85546875" style="304" customWidth="1"/>
    <col min="14" max="14" width="7.42578125" style="304" customWidth="1"/>
    <col min="15" max="15" width="6.85546875" style="304" customWidth="1"/>
    <col min="16" max="16" width="7.28515625" style="304" customWidth="1"/>
    <col min="17" max="17" width="5.5703125" style="304" customWidth="1"/>
    <col min="18" max="18" width="8.28515625" style="304" bestFit="1" customWidth="1"/>
    <col min="19" max="21" width="7.42578125" style="304" bestFit="1" customWidth="1"/>
    <col min="22" max="22" width="8.140625" style="304" customWidth="1"/>
    <col min="23" max="23" width="8.28515625" style="304" customWidth="1"/>
    <col min="24" max="25" width="7.42578125" style="304" bestFit="1" customWidth="1"/>
    <col min="26" max="26" width="6.5703125" style="304" bestFit="1" customWidth="1"/>
    <col min="27" max="27" width="8.28515625" style="304" customWidth="1"/>
    <col min="28" max="28" width="7.42578125" style="304" bestFit="1" customWidth="1"/>
    <col min="29" max="29" width="7.140625" style="304" customWidth="1"/>
    <col min="30" max="30" width="6.7109375" style="304" customWidth="1"/>
    <col min="31" max="31" width="4.85546875" style="304" customWidth="1"/>
    <col min="32" max="32" width="6.5703125" style="304" bestFit="1" customWidth="1"/>
    <col min="33" max="33" width="5.140625" style="304" customWidth="1"/>
    <col min="34" max="34" width="5.7109375" style="304" bestFit="1" customWidth="1"/>
    <col min="35" max="35" width="8.42578125" style="304" customWidth="1"/>
    <col min="36" max="36" width="9.140625" style="307"/>
    <col min="37" max="37" width="3.28515625" style="304" customWidth="1"/>
    <col min="38" max="44" width="9.140625" style="303"/>
    <col min="45" max="16384" width="9.140625" style="304"/>
  </cols>
  <sheetData>
    <row r="1" spans="2:43" ht="23.25" customHeight="1">
      <c r="B1" s="792" t="s">
        <v>21</v>
      </c>
      <c r="C1" s="792"/>
      <c r="D1" s="792"/>
      <c r="E1" s="792"/>
      <c r="F1" s="792"/>
      <c r="G1" s="792"/>
      <c r="H1" s="792"/>
      <c r="I1" s="792"/>
      <c r="J1" s="792"/>
      <c r="K1" s="792"/>
      <c r="L1" s="792"/>
      <c r="M1" s="792"/>
      <c r="N1" s="792"/>
      <c r="O1" s="792"/>
      <c r="P1" s="792"/>
      <c r="Q1" s="792"/>
      <c r="R1" s="792"/>
      <c r="S1" s="792"/>
      <c r="T1" s="792"/>
      <c r="U1" s="792"/>
      <c r="V1" s="792"/>
      <c r="W1" s="792"/>
      <c r="X1" s="792"/>
      <c r="Y1" s="792"/>
      <c r="Z1" s="792"/>
      <c r="AA1" s="792"/>
      <c r="AB1" s="792"/>
      <c r="AC1" s="792"/>
      <c r="AD1" s="792"/>
      <c r="AE1" s="792"/>
      <c r="AF1" s="792"/>
      <c r="AG1" s="792"/>
      <c r="AH1" s="792"/>
      <c r="AI1" s="792"/>
      <c r="AJ1" s="792"/>
      <c r="AK1" s="792"/>
    </row>
    <row r="2" spans="2:43" ht="23.25" customHeight="1">
      <c r="B2" s="792" t="s">
        <v>22</v>
      </c>
      <c r="C2" s="792"/>
      <c r="D2" s="792"/>
      <c r="E2" s="792"/>
      <c r="F2" s="792"/>
      <c r="G2" s="792"/>
      <c r="H2" s="792"/>
      <c r="I2" s="792"/>
      <c r="J2" s="792"/>
      <c r="K2" s="792"/>
      <c r="L2" s="792"/>
      <c r="M2" s="792"/>
      <c r="N2" s="792"/>
      <c r="O2" s="792"/>
      <c r="P2" s="792"/>
      <c r="Q2" s="792"/>
      <c r="R2" s="792"/>
      <c r="S2" s="792"/>
      <c r="T2" s="792"/>
      <c r="U2" s="792"/>
      <c r="V2" s="792"/>
      <c r="W2" s="792"/>
      <c r="X2" s="792"/>
      <c r="Y2" s="792"/>
      <c r="Z2" s="792"/>
      <c r="AA2" s="792"/>
      <c r="AB2" s="792"/>
      <c r="AC2" s="792"/>
      <c r="AD2" s="792"/>
      <c r="AE2" s="792"/>
      <c r="AF2" s="792"/>
      <c r="AG2" s="792"/>
      <c r="AH2" s="792"/>
      <c r="AI2" s="792"/>
      <c r="AJ2" s="792"/>
      <c r="AK2" s="792"/>
    </row>
    <row r="3" spans="2:43" ht="9.75" customHeight="1">
      <c r="B3" s="356"/>
      <c r="C3" s="365"/>
      <c r="D3" s="365"/>
      <c r="E3" s="365" t="s">
        <v>170</v>
      </c>
      <c r="F3" s="365"/>
      <c r="G3" s="366"/>
      <c r="H3" s="365"/>
      <c r="I3" s="365"/>
      <c r="J3" s="365"/>
      <c r="K3" s="365"/>
      <c r="L3" s="365"/>
      <c r="M3" s="365"/>
      <c r="N3" s="365"/>
      <c r="O3" s="365"/>
      <c r="P3" s="365"/>
      <c r="Q3" s="365"/>
      <c r="R3" s="365"/>
      <c r="S3" s="365"/>
      <c r="T3" s="365"/>
      <c r="U3" s="365"/>
      <c r="V3" s="365"/>
      <c r="W3" s="365"/>
      <c r="X3" s="365"/>
      <c r="Y3" s="365"/>
      <c r="Z3" s="365"/>
      <c r="AA3" s="365"/>
      <c r="AB3" s="365"/>
      <c r="AC3" s="365"/>
      <c r="AD3" s="365"/>
      <c r="AE3" s="365"/>
      <c r="AF3" s="365"/>
      <c r="AG3" s="365"/>
      <c r="AH3" s="365"/>
      <c r="AI3" s="365"/>
      <c r="AJ3" s="366"/>
      <c r="AK3" s="365"/>
    </row>
    <row r="4" spans="2:43" ht="23.25" customHeight="1">
      <c r="B4" s="793" t="s">
        <v>23</v>
      </c>
      <c r="C4" s="793"/>
      <c r="D4" s="793"/>
      <c r="E4" s="793"/>
      <c r="F4" s="793"/>
      <c r="G4" s="793"/>
      <c r="H4" s="793"/>
      <c r="I4" s="793"/>
      <c r="J4" s="793"/>
      <c r="K4" s="793"/>
      <c r="L4" s="793"/>
      <c r="M4" s="793"/>
      <c r="N4" s="793"/>
      <c r="O4" s="793"/>
      <c r="P4" s="793"/>
      <c r="Q4" s="793"/>
      <c r="R4" s="793"/>
      <c r="S4" s="793"/>
      <c r="T4" s="793"/>
      <c r="U4" s="794" t="s">
        <v>244</v>
      </c>
      <c r="V4" s="794"/>
      <c r="W4" s="794"/>
      <c r="X4" s="794"/>
      <c r="Y4" s="308"/>
      <c r="Z4" s="308"/>
      <c r="AA4" s="308"/>
      <c r="AB4" s="308"/>
      <c r="AC4" s="308"/>
      <c r="AD4" s="308"/>
      <c r="AE4" s="308"/>
      <c r="AF4" s="308"/>
      <c r="AG4" s="308"/>
      <c r="AH4" s="308"/>
      <c r="AI4" s="308"/>
      <c r="AJ4" s="309"/>
      <c r="AK4" s="310"/>
    </row>
    <row r="5" spans="2:43" ht="12.75" customHeight="1">
      <c r="B5" s="311"/>
      <c r="C5" s="311"/>
      <c r="D5" s="311"/>
      <c r="E5" s="311"/>
      <c r="F5" s="311"/>
      <c r="G5" s="312"/>
      <c r="H5" s="311"/>
      <c r="I5" s="311"/>
      <c r="J5" s="311"/>
      <c r="K5" s="311"/>
      <c r="L5" s="311"/>
      <c r="M5" s="311"/>
      <c r="N5" s="311"/>
      <c r="O5" s="311"/>
      <c r="P5" s="311"/>
      <c r="Q5" s="311"/>
      <c r="R5" s="311"/>
      <c r="S5" s="311"/>
      <c r="T5" s="311"/>
      <c r="U5" s="311"/>
      <c r="V5" s="311"/>
      <c r="W5" s="311"/>
      <c r="X5" s="311"/>
      <c r="Y5" s="311"/>
      <c r="Z5" s="311"/>
      <c r="AA5" s="311"/>
      <c r="AB5" s="311"/>
      <c r="AC5" s="311"/>
      <c r="AD5" s="311"/>
      <c r="AE5" s="311"/>
      <c r="AF5" s="311"/>
      <c r="AG5" s="311"/>
      <c r="AH5" s="311"/>
      <c r="AI5" s="313"/>
      <c r="AJ5" s="314"/>
      <c r="AK5" s="315"/>
    </row>
    <row r="6" spans="2:43" s="316" customFormat="1" ht="23.25" customHeight="1">
      <c r="B6" s="775" t="s">
        <v>24</v>
      </c>
      <c r="C6" s="775" t="s">
        <v>86</v>
      </c>
      <c r="D6" s="795" t="s">
        <v>25</v>
      </c>
      <c r="E6" s="798" t="s">
        <v>19</v>
      </c>
      <c r="F6" s="799"/>
      <c r="G6" s="784" t="s">
        <v>26</v>
      </c>
      <c r="H6" s="775" t="s">
        <v>150</v>
      </c>
      <c r="I6" s="775" t="s">
        <v>27</v>
      </c>
      <c r="J6" s="775" t="s">
        <v>28</v>
      </c>
      <c r="K6" s="775" t="s">
        <v>29</v>
      </c>
      <c r="L6" s="775" t="s">
        <v>30</v>
      </c>
      <c r="M6" s="775" t="s">
        <v>31</v>
      </c>
      <c r="N6" s="775" t="s">
        <v>32</v>
      </c>
      <c r="O6" s="775" t="s">
        <v>33</v>
      </c>
      <c r="P6" s="775" t="s">
        <v>34</v>
      </c>
      <c r="Q6" s="775" t="s">
        <v>35</v>
      </c>
      <c r="R6" s="775" t="s">
        <v>36</v>
      </c>
      <c r="S6" s="798" t="s">
        <v>37</v>
      </c>
      <c r="T6" s="804"/>
      <c r="U6" s="799"/>
      <c r="V6" s="775" t="s">
        <v>38</v>
      </c>
      <c r="W6" s="781" t="s">
        <v>2</v>
      </c>
      <c r="X6" s="782"/>
      <c r="Y6" s="782"/>
      <c r="Z6" s="782"/>
      <c r="AA6" s="782"/>
      <c r="AB6" s="782"/>
      <c r="AC6" s="782"/>
      <c r="AD6" s="782"/>
      <c r="AE6" s="782"/>
      <c r="AF6" s="782"/>
      <c r="AG6" s="782"/>
      <c r="AH6" s="783"/>
      <c r="AI6" s="775" t="s">
        <v>0</v>
      </c>
      <c r="AJ6" s="784" t="s">
        <v>39</v>
      </c>
      <c r="AK6" s="348"/>
      <c r="AL6" s="303"/>
      <c r="AM6" s="303"/>
      <c r="AN6" s="303"/>
      <c r="AO6" s="303"/>
      <c r="AP6" s="303"/>
      <c r="AQ6" s="303"/>
    </row>
    <row r="7" spans="2:43" s="316" customFormat="1" ht="11.25" customHeight="1">
      <c r="B7" s="776"/>
      <c r="C7" s="776"/>
      <c r="D7" s="796"/>
      <c r="E7" s="800"/>
      <c r="F7" s="801"/>
      <c r="G7" s="785"/>
      <c r="H7" s="776"/>
      <c r="I7" s="776"/>
      <c r="J7" s="776"/>
      <c r="K7" s="776"/>
      <c r="L7" s="776"/>
      <c r="M7" s="776"/>
      <c r="N7" s="776"/>
      <c r="O7" s="776"/>
      <c r="P7" s="776"/>
      <c r="Q7" s="776"/>
      <c r="R7" s="776"/>
      <c r="S7" s="802"/>
      <c r="T7" s="805"/>
      <c r="U7" s="803"/>
      <c r="V7" s="776"/>
      <c r="W7" s="787" t="s">
        <v>40</v>
      </c>
      <c r="X7" s="789" t="s">
        <v>41</v>
      </c>
      <c r="Y7" s="789"/>
      <c r="Z7" s="789"/>
      <c r="AA7" s="789" t="s">
        <v>42</v>
      </c>
      <c r="AB7" s="789"/>
      <c r="AC7" s="789"/>
      <c r="AD7" s="789" t="s">
        <v>43</v>
      </c>
      <c r="AE7" s="789"/>
      <c r="AF7" s="789"/>
      <c r="AG7" s="789"/>
      <c r="AH7" s="789"/>
      <c r="AI7" s="776"/>
      <c r="AJ7" s="785"/>
      <c r="AK7" s="348"/>
      <c r="AL7" s="303"/>
      <c r="AM7" s="303"/>
      <c r="AN7" s="303"/>
      <c r="AO7" s="303"/>
      <c r="AP7" s="303"/>
      <c r="AQ7" s="303"/>
    </row>
    <row r="8" spans="2:43" s="317" customFormat="1" ht="43.5" customHeight="1">
      <c r="B8" s="777"/>
      <c r="C8" s="777"/>
      <c r="D8" s="797"/>
      <c r="E8" s="802"/>
      <c r="F8" s="803"/>
      <c r="G8" s="786"/>
      <c r="H8" s="777"/>
      <c r="I8" s="777"/>
      <c r="J8" s="777"/>
      <c r="K8" s="777"/>
      <c r="L8" s="777"/>
      <c r="M8" s="777"/>
      <c r="N8" s="777"/>
      <c r="O8" s="777"/>
      <c r="P8" s="777"/>
      <c r="Q8" s="777"/>
      <c r="R8" s="777"/>
      <c r="S8" s="358" t="s">
        <v>44</v>
      </c>
      <c r="T8" s="358" t="s">
        <v>185</v>
      </c>
      <c r="U8" s="358" t="s">
        <v>45</v>
      </c>
      <c r="V8" s="777"/>
      <c r="W8" s="788"/>
      <c r="X8" s="367" t="s">
        <v>46</v>
      </c>
      <c r="Y8" s="367" t="s">
        <v>47</v>
      </c>
      <c r="Z8" s="367" t="s">
        <v>48</v>
      </c>
      <c r="AA8" s="367" t="s">
        <v>49</v>
      </c>
      <c r="AB8" s="367" t="s">
        <v>50</v>
      </c>
      <c r="AC8" s="367" t="s">
        <v>51</v>
      </c>
      <c r="AD8" s="367" t="s">
        <v>52</v>
      </c>
      <c r="AE8" s="367" t="s">
        <v>53</v>
      </c>
      <c r="AF8" s="367" t="s">
        <v>54</v>
      </c>
      <c r="AG8" s="367" t="s">
        <v>161</v>
      </c>
      <c r="AH8" s="367" t="s">
        <v>55</v>
      </c>
      <c r="AI8" s="777"/>
      <c r="AJ8" s="786"/>
      <c r="AK8" s="348"/>
      <c r="AL8" s="303"/>
      <c r="AM8" s="303"/>
      <c r="AN8" s="303"/>
      <c r="AO8" s="303"/>
      <c r="AP8" s="303"/>
      <c r="AQ8" s="303"/>
    </row>
    <row r="9" spans="2:43" s="319" customFormat="1" ht="15" customHeight="1">
      <c r="B9" s="770" t="s">
        <v>56</v>
      </c>
      <c r="C9" s="771"/>
      <c r="D9" s="771"/>
      <c r="E9" s="368"/>
      <c r="F9" s="368"/>
      <c r="G9" s="318"/>
      <c r="H9" s="368"/>
      <c r="I9" s="368"/>
      <c r="J9" s="368"/>
      <c r="K9" s="368"/>
      <c r="L9" s="368"/>
      <c r="M9" s="368"/>
      <c r="N9" s="368"/>
      <c r="O9" s="368"/>
      <c r="P9" s="368"/>
      <c r="Q9" s="368"/>
      <c r="R9" s="368"/>
      <c r="S9" s="368"/>
      <c r="T9" s="368"/>
      <c r="U9" s="368"/>
      <c r="V9" s="368"/>
      <c r="W9" s="368"/>
      <c r="X9" s="356"/>
      <c r="Y9" s="356"/>
      <c r="Z9" s="356"/>
      <c r="AA9" s="356"/>
      <c r="AB9" s="356"/>
      <c r="AC9" s="356"/>
      <c r="AD9" s="356"/>
      <c r="AE9" s="356"/>
      <c r="AF9" s="356"/>
      <c r="AG9" s="356"/>
      <c r="AH9" s="356"/>
      <c r="AI9" s="356"/>
      <c r="AJ9" s="369"/>
      <c r="AK9" s="348"/>
      <c r="AL9" s="303"/>
      <c r="AM9" s="303"/>
      <c r="AN9" s="303"/>
      <c r="AO9" s="303"/>
      <c r="AP9" s="303"/>
      <c r="AQ9" s="303"/>
    </row>
    <row r="10" spans="2:43" s="320" customFormat="1" ht="23.25" customHeight="1">
      <c r="B10" s="357">
        <v>1</v>
      </c>
      <c r="C10" s="357">
        <v>2509</v>
      </c>
      <c r="D10" s="370" t="s">
        <v>203</v>
      </c>
      <c r="E10" s="357" t="s">
        <v>3</v>
      </c>
      <c r="F10" s="357" t="s">
        <v>58</v>
      </c>
      <c r="G10" s="324">
        <v>56030</v>
      </c>
      <c r="H10" s="359">
        <v>0</v>
      </c>
      <c r="I10" s="359">
        <f t="shared" ref="I10:I16" si="0">G10+H10</f>
        <v>56030</v>
      </c>
      <c r="J10" s="359">
        <v>0</v>
      </c>
      <c r="K10" s="359">
        <v>200</v>
      </c>
      <c r="L10" s="359">
        <v>1000</v>
      </c>
      <c r="M10" s="359">
        <f>ROUND(IF(OR(I10*40%&gt;16000),I10*40%,16000),0)</f>
        <v>22412</v>
      </c>
      <c r="N10" s="359">
        <v>1500</v>
      </c>
      <c r="O10" s="359">
        <v>0</v>
      </c>
      <c r="P10" s="359">
        <v>0</v>
      </c>
      <c r="Q10" s="359">
        <v>400</v>
      </c>
      <c r="R10" s="359">
        <f t="shared" ref="R10:R18" si="1">ROUND(I10+J10+K10+L10+M10+N10+O10+P10+Q10,0)</f>
        <v>81542</v>
      </c>
      <c r="S10" s="359">
        <f>ROUND(I10*10%,0)</f>
        <v>5603</v>
      </c>
      <c r="T10" s="359">
        <v>0</v>
      </c>
      <c r="U10" s="359">
        <f>ROUND(I10*10%,0)</f>
        <v>5603</v>
      </c>
      <c r="V10" s="359">
        <f t="shared" ref="V10:V18" si="2">SUM(R10:U10)</f>
        <v>92748</v>
      </c>
      <c r="W10" s="359">
        <f>S10</f>
        <v>5603</v>
      </c>
      <c r="X10" s="359">
        <f>ROUND(I10*10%,0)</f>
        <v>5603</v>
      </c>
      <c r="Y10" s="359">
        <f>ROUND(I10*10%,0)</f>
        <v>5603</v>
      </c>
      <c r="Z10" s="359">
        <v>0</v>
      </c>
      <c r="AA10" s="359">
        <v>0</v>
      </c>
      <c r="AB10" s="359">
        <v>3183</v>
      </c>
      <c r="AC10" s="359">
        <v>1605</v>
      </c>
      <c r="AD10" s="359">
        <v>300</v>
      </c>
      <c r="AE10" s="359">
        <v>12</v>
      </c>
      <c r="AF10" s="359">
        <v>2000</v>
      </c>
      <c r="AG10" s="359">
        <v>0</v>
      </c>
      <c r="AH10" s="359">
        <v>10</v>
      </c>
      <c r="AI10" s="371">
        <f>SUM(W10:AH10)</f>
        <v>23919</v>
      </c>
      <c r="AJ10" s="324">
        <f t="shared" ref="AJ10:AJ18" si="3">V10-AI10</f>
        <v>68829</v>
      </c>
      <c r="AK10" s="348"/>
      <c r="AL10" s="303"/>
      <c r="AM10" s="303"/>
      <c r="AN10" s="303"/>
      <c r="AO10" s="303"/>
      <c r="AP10" s="303"/>
      <c r="AQ10" s="303"/>
    </row>
    <row r="11" spans="2:43" s="321" customFormat="1" ht="23.25" customHeight="1">
      <c r="B11" s="357">
        <f>B10+1</f>
        <v>2</v>
      </c>
      <c r="C11" s="357">
        <v>2357</v>
      </c>
      <c r="D11" s="372" t="s">
        <v>176</v>
      </c>
      <c r="E11" s="357" t="s">
        <v>236</v>
      </c>
      <c r="F11" s="357" t="s">
        <v>58</v>
      </c>
      <c r="G11" s="324">
        <v>43170</v>
      </c>
      <c r="H11" s="359">
        <v>0</v>
      </c>
      <c r="I11" s="359">
        <f t="shared" ref="I11:I13" si="4">G11+H11</f>
        <v>43170</v>
      </c>
      <c r="J11" s="359">
        <v>0</v>
      </c>
      <c r="K11" s="359">
        <v>0</v>
      </c>
      <c r="L11" s="359">
        <v>500</v>
      </c>
      <c r="M11" s="359">
        <f>ROUND(IF(OR(I11*40%&gt;16000),I11*40%,16000),0)</f>
        <v>17268</v>
      </c>
      <c r="N11" s="359">
        <v>1500</v>
      </c>
      <c r="O11" s="359">
        <v>0</v>
      </c>
      <c r="P11" s="359">
        <v>0</v>
      </c>
      <c r="Q11" s="359">
        <v>0</v>
      </c>
      <c r="R11" s="359">
        <f t="shared" ref="R11:R13" si="5">ROUND(I11+J11+K11+L11+M11+N11+O11+P11+Q11,0)</f>
        <v>62438</v>
      </c>
      <c r="S11" s="359">
        <f>ROUND(I11*10%,0)</f>
        <v>4317</v>
      </c>
      <c r="T11" s="359">
        <v>0</v>
      </c>
      <c r="U11" s="359">
        <f>ROUND(I11*10%,0)</f>
        <v>4317</v>
      </c>
      <c r="V11" s="359">
        <f t="shared" si="2"/>
        <v>71072</v>
      </c>
      <c r="W11" s="359">
        <f>S11</f>
        <v>4317</v>
      </c>
      <c r="X11" s="359">
        <f>ROUND(I11*10%,0)</f>
        <v>4317</v>
      </c>
      <c r="Y11" s="359">
        <f>ROUND(I11*10%,0)</f>
        <v>4317</v>
      </c>
      <c r="Z11" s="359">
        <v>0</v>
      </c>
      <c r="AA11" s="359">
        <v>17268</v>
      </c>
      <c r="AB11" s="359">
        <v>3144</v>
      </c>
      <c r="AC11" s="359">
        <v>1100</v>
      </c>
      <c r="AD11" s="359">
        <v>250</v>
      </c>
      <c r="AE11" s="359">
        <v>6</v>
      </c>
      <c r="AF11" s="359">
        <v>500</v>
      </c>
      <c r="AG11" s="359">
        <v>0</v>
      </c>
      <c r="AH11" s="359">
        <v>10</v>
      </c>
      <c r="AI11" s="371">
        <f t="shared" ref="AI11" si="6">SUM(W11:AH11)</f>
        <v>35229</v>
      </c>
      <c r="AJ11" s="324">
        <f t="shared" ref="AJ11:AJ13" si="7">V11-AI11</f>
        <v>35843</v>
      </c>
      <c r="AK11" s="348"/>
      <c r="AL11" s="303"/>
      <c r="AM11" s="303"/>
      <c r="AN11" s="303"/>
      <c r="AO11" s="303"/>
      <c r="AP11" s="303"/>
      <c r="AQ11" s="303"/>
    </row>
    <row r="12" spans="2:43" s="322" customFormat="1" ht="23.25" customHeight="1">
      <c r="B12" s="357">
        <f t="shared" ref="B12:B18" si="8">B11+1</f>
        <v>3</v>
      </c>
      <c r="C12" s="357">
        <v>2385</v>
      </c>
      <c r="D12" s="373" t="s">
        <v>233</v>
      </c>
      <c r="E12" s="357" t="s">
        <v>7</v>
      </c>
      <c r="F12" s="357" t="s">
        <v>58</v>
      </c>
      <c r="G12" s="324">
        <v>41110</v>
      </c>
      <c r="H12" s="359">
        <v>0</v>
      </c>
      <c r="I12" s="359">
        <f>G12+H12</f>
        <v>41110</v>
      </c>
      <c r="J12" s="359">
        <v>0</v>
      </c>
      <c r="K12" s="359">
        <v>0</v>
      </c>
      <c r="L12" s="359">
        <v>500</v>
      </c>
      <c r="M12" s="359">
        <f>ROUND(IF(OR(I12*40%&gt;16000),I12*40%,16000),0)</f>
        <v>16444</v>
      </c>
      <c r="N12" s="359">
        <v>1500</v>
      </c>
      <c r="O12" s="359">
        <v>0</v>
      </c>
      <c r="P12" s="359">
        <v>0</v>
      </c>
      <c r="Q12" s="359">
        <v>0</v>
      </c>
      <c r="R12" s="359">
        <f>ROUND(I12+J12+K12+L12+M12+N12+O12+P12+Q12,0)</f>
        <v>59554</v>
      </c>
      <c r="S12" s="359">
        <f>ROUND(I12*10%,0)</f>
        <v>4111</v>
      </c>
      <c r="T12" s="359">
        <v>0</v>
      </c>
      <c r="U12" s="359">
        <f>ROUND(I12*10%,0)</f>
        <v>4111</v>
      </c>
      <c r="V12" s="359">
        <f t="shared" si="2"/>
        <v>67776</v>
      </c>
      <c r="W12" s="359">
        <f>S12</f>
        <v>4111</v>
      </c>
      <c r="X12" s="359">
        <f>ROUND(I12*10%,0)</f>
        <v>4111</v>
      </c>
      <c r="Y12" s="359">
        <f>ROUND(I12*10%,0)</f>
        <v>4111</v>
      </c>
      <c r="Z12" s="359">
        <v>0</v>
      </c>
      <c r="AA12" s="359">
        <v>0</v>
      </c>
      <c r="AB12" s="359">
        <v>3200</v>
      </c>
      <c r="AC12" s="359">
        <v>0</v>
      </c>
      <c r="AD12" s="359">
        <v>250</v>
      </c>
      <c r="AE12" s="359">
        <v>0</v>
      </c>
      <c r="AF12" s="359">
        <v>640</v>
      </c>
      <c r="AG12" s="359">
        <v>0</v>
      </c>
      <c r="AH12" s="359">
        <v>10</v>
      </c>
      <c r="AI12" s="371">
        <f>SUM(W12:AH12)</f>
        <v>16433</v>
      </c>
      <c r="AJ12" s="324">
        <f>V12-AI12</f>
        <v>51343</v>
      </c>
      <c r="AK12" s="348"/>
      <c r="AL12" s="303"/>
      <c r="AM12" s="303"/>
      <c r="AN12" s="303"/>
      <c r="AO12" s="303"/>
      <c r="AP12" s="303"/>
      <c r="AQ12" s="303"/>
    </row>
    <row r="13" spans="2:43" s="321" customFormat="1" ht="23.25" customHeight="1">
      <c r="B13" s="357">
        <f t="shared" si="8"/>
        <v>4</v>
      </c>
      <c r="C13" s="357">
        <v>1821</v>
      </c>
      <c r="D13" s="372" t="s">
        <v>225</v>
      </c>
      <c r="E13" s="357" t="s">
        <v>7</v>
      </c>
      <c r="F13" s="357" t="s">
        <v>9</v>
      </c>
      <c r="G13" s="324">
        <v>41110</v>
      </c>
      <c r="H13" s="359">
        <v>0</v>
      </c>
      <c r="I13" s="359">
        <f t="shared" si="4"/>
        <v>41110</v>
      </c>
      <c r="J13" s="359">
        <v>0</v>
      </c>
      <c r="K13" s="359">
        <v>0</v>
      </c>
      <c r="L13" s="359">
        <v>500</v>
      </c>
      <c r="M13" s="359">
        <f>ROUND(IF(OR(I13*40%&gt;16000),I13*40%,16000),0)</f>
        <v>16444</v>
      </c>
      <c r="N13" s="359">
        <v>1500</v>
      </c>
      <c r="O13" s="359">
        <v>0</v>
      </c>
      <c r="P13" s="359">
        <v>0</v>
      </c>
      <c r="Q13" s="359">
        <v>0</v>
      </c>
      <c r="R13" s="359">
        <f t="shared" si="5"/>
        <v>59554</v>
      </c>
      <c r="S13" s="359">
        <v>0</v>
      </c>
      <c r="T13" s="359">
        <f>ROUND(I13*41%, 0)</f>
        <v>16855</v>
      </c>
      <c r="U13" s="359">
        <v>0</v>
      </c>
      <c r="V13" s="359">
        <f t="shared" si="2"/>
        <v>76409</v>
      </c>
      <c r="W13" s="359">
        <f>T13</f>
        <v>16855</v>
      </c>
      <c r="X13" s="359">
        <v>0</v>
      </c>
      <c r="Y13" s="359">
        <f t="shared" ref="Y13" si="9">ROUND(I13*10%,0)</f>
        <v>4111</v>
      </c>
      <c r="Z13" s="359">
        <v>0</v>
      </c>
      <c r="AA13" s="359">
        <v>15600</v>
      </c>
      <c r="AB13" s="359">
        <v>3025</v>
      </c>
      <c r="AC13" s="359">
        <v>1130</v>
      </c>
      <c r="AD13" s="359">
        <v>250</v>
      </c>
      <c r="AE13" s="359">
        <v>0</v>
      </c>
      <c r="AF13" s="359">
        <v>250</v>
      </c>
      <c r="AG13" s="359">
        <v>0</v>
      </c>
      <c r="AH13" s="359">
        <v>10</v>
      </c>
      <c r="AI13" s="371">
        <f>SUM(W13:AH13)</f>
        <v>41231</v>
      </c>
      <c r="AJ13" s="324">
        <f t="shared" si="7"/>
        <v>35178</v>
      </c>
      <c r="AK13" s="348"/>
      <c r="AL13" s="303"/>
      <c r="AM13" s="303"/>
      <c r="AN13" s="303"/>
      <c r="AO13" s="303"/>
      <c r="AP13" s="303"/>
      <c r="AQ13" s="303"/>
    </row>
    <row r="14" spans="2:43" s="322" customFormat="1" ht="23.25" customHeight="1">
      <c r="B14" s="357">
        <f t="shared" si="8"/>
        <v>5</v>
      </c>
      <c r="C14" s="357">
        <v>1958</v>
      </c>
      <c r="D14" s="373" t="s">
        <v>178</v>
      </c>
      <c r="E14" s="357" t="s">
        <v>179</v>
      </c>
      <c r="F14" s="357" t="s">
        <v>9</v>
      </c>
      <c r="G14" s="324">
        <v>37280</v>
      </c>
      <c r="H14" s="359">
        <v>0</v>
      </c>
      <c r="I14" s="359">
        <f t="shared" si="0"/>
        <v>37280</v>
      </c>
      <c r="J14" s="359">
        <v>0</v>
      </c>
      <c r="K14" s="359">
        <v>0</v>
      </c>
      <c r="L14" s="359">
        <v>1000</v>
      </c>
      <c r="M14" s="359">
        <f>ROUND(IF(OR(I14*45%&gt;8000),I14*45%,8000),0)</f>
        <v>16776</v>
      </c>
      <c r="N14" s="359">
        <v>1500</v>
      </c>
      <c r="O14" s="359">
        <v>0</v>
      </c>
      <c r="P14" s="359">
        <v>0</v>
      </c>
      <c r="Q14" s="359">
        <v>0</v>
      </c>
      <c r="R14" s="359">
        <f t="shared" si="1"/>
        <v>56556</v>
      </c>
      <c r="S14" s="359">
        <v>0</v>
      </c>
      <c r="T14" s="359">
        <f>ROUND(I14*41%, 0)</f>
        <v>15285</v>
      </c>
      <c r="U14" s="359">
        <v>0</v>
      </c>
      <c r="V14" s="359">
        <f t="shared" si="2"/>
        <v>71841</v>
      </c>
      <c r="W14" s="359">
        <f>T14</f>
        <v>15285</v>
      </c>
      <c r="X14" s="359">
        <v>0</v>
      </c>
      <c r="Y14" s="359">
        <f>ROUND(I14*20%,0)</f>
        <v>7456</v>
      </c>
      <c r="Z14" s="359">
        <v>0</v>
      </c>
      <c r="AA14" s="359">
        <f>M14+1000</f>
        <v>17776</v>
      </c>
      <c r="AB14" s="359">
        <v>0</v>
      </c>
      <c r="AC14" s="359">
        <v>0</v>
      </c>
      <c r="AD14" s="359">
        <v>200</v>
      </c>
      <c r="AE14" s="359">
        <v>0</v>
      </c>
      <c r="AF14" s="359">
        <v>0</v>
      </c>
      <c r="AG14" s="359">
        <v>0</v>
      </c>
      <c r="AH14" s="359">
        <v>10</v>
      </c>
      <c r="AI14" s="371">
        <f t="shared" ref="AI14:AI18" si="10">SUM(W14:AH14)</f>
        <v>40727</v>
      </c>
      <c r="AJ14" s="324">
        <f t="shared" si="3"/>
        <v>31114</v>
      </c>
      <c r="AK14" s="348"/>
      <c r="AL14" s="303"/>
      <c r="AM14" s="303"/>
      <c r="AN14" s="303"/>
      <c r="AO14" s="303"/>
      <c r="AP14" s="303"/>
      <c r="AQ14" s="303"/>
    </row>
    <row r="15" spans="2:43" s="322" customFormat="1" ht="23.25" customHeight="1">
      <c r="B15" s="357">
        <f t="shared" si="8"/>
        <v>6</v>
      </c>
      <c r="C15" s="357">
        <v>2645</v>
      </c>
      <c r="D15" s="373" t="s">
        <v>182</v>
      </c>
      <c r="E15" s="357" t="s">
        <v>179</v>
      </c>
      <c r="F15" s="357" t="s">
        <v>58</v>
      </c>
      <c r="G15" s="324">
        <v>24260</v>
      </c>
      <c r="H15" s="359">
        <v>0</v>
      </c>
      <c r="I15" s="359">
        <f t="shared" si="0"/>
        <v>24260</v>
      </c>
      <c r="J15" s="359">
        <v>0</v>
      </c>
      <c r="K15" s="359">
        <v>0</v>
      </c>
      <c r="L15" s="359">
        <v>0</v>
      </c>
      <c r="M15" s="359">
        <f t="shared" ref="M15" si="11">ROUND(IF(OR(I15*45%&gt;8000),I15*45%,8000),0)</f>
        <v>10917</v>
      </c>
      <c r="N15" s="359">
        <v>1500</v>
      </c>
      <c r="O15" s="359">
        <v>0</v>
      </c>
      <c r="P15" s="359">
        <v>0</v>
      </c>
      <c r="Q15" s="359">
        <v>0</v>
      </c>
      <c r="R15" s="359">
        <f t="shared" si="1"/>
        <v>36677</v>
      </c>
      <c r="S15" s="359">
        <f t="shared" ref="S15:S18" si="12">ROUND(I15*10%,0)</f>
        <v>2426</v>
      </c>
      <c r="T15" s="359">
        <v>0</v>
      </c>
      <c r="U15" s="359">
        <f t="shared" ref="U15:U18" si="13">ROUND(I15*10%,0)</f>
        <v>2426</v>
      </c>
      <c r="V15" s="359">
        <f t="shared" si="2"/>
        <v>41529</v>
      </c>
      <c r="W15" s="359">
        <f t="shared" ref="W15" si="14">S15</f>
        <v>2426</v>
      </c>
      <c r="X15" s="359">
        <f t="shared" ref="X15:X18" si="15">ROUND(I15*10%,0)</f>
        <v>2426</v>
      </c>
      <c r="Y15" s="359">
        <f t="shared" ref="Y15:Y18" si="16">ROUND(I15*10%,0)</f>
        <v>2426</v>
      </c>
      <c r="Z15" s="359">
        <v>0</v>
      </c>
      <c r="AA15" s="359">
        <v>0</v>
      </c>
      <c r="AB15" s="359">
        <v>0</v>
      </c>
      <c r="AC15" s="359">
        <v>0</v>
      </c>
      <c r="AD15" s="359">
        <f t="shared" ref="AD15" si="17">ROUND(IF(I15*1%&gt;200,200,I15*1%),0)</f>
        <v>200</v>
      </c>
      <c r="AE15" s="359">
        <v>0</v>
      </c>
      <c r="AF15" s="359">
        <v>0</v>
      </c>
      <c r="AG15" s="359">
        <v>0</v>
      </c>
      <c r="AH15" s="359">
        <v>10</v>
      </c>
      <c r="AI15" s="371">
        <f t="shared" si="10"/>
        <v>7488</v>
      </c>
      <c r="AJ15" s="324">
        <f t="shared" si="3"/>
        <v>34041</v>
      </c>
      <c r="AK15" s="348"/>
      <c r="AL15" s="303"/>
      <c r="AM15" s="303"/>
      <c r="AN15" s="303"/>
      <c r="AO15" s="303"/>
      <c r="AP15" s="303"/>
      <c r="AQ15" s="303"/>
    </row>
    <row r="16" spans="2:43" s="322" customFormat="1" ht="23.25" customHeight="1">
      <c r="B16" s="357">
        <f t="shared" si="8"/>
        <v>7</v>
      </c>
      <c r="C16" s="357">
        <v>1811</v>
      </c>
      <c r="D16" s="372" t="s">
        <v>59</v>
      </c>
      <c r="E16" s="379" t="s">
        <v>179</v>
      </c>
      <c r="F16" s="357" t="s">
        <v>9</v>
      </c>
      <c r="G16" s="374">
        <v>20440</v>
      </c>
      <c r="H16" s="359">
        <v>0</v>
      </c>
      <c r="I16" s="359">
        <f t="shared" si="0"/>
        <v>20440</v>
      </c>
      <c r="J16" s="359">
        <v>0</v>
      </c>
      <c r="K16" s="359">
        <v>0</v>
      </c>
      <c r="L16" s="359">
        <v>0</v>
      </c>
      <c r="M16" s="359">
        <f>ROUND(IF(OR(I16*45%&gt;8000),I16*45%,8000),0)</f>
        <v>9198</v>
      </c>
      <c r="N16" s="359">
        <v>1500</v>
      </c>
      <c r="O16" s="359">
        <v>0</v>
      </c>
      <c r="P16" s="359">
        <v>0</v>
      </c>
      <c r="Q16" s="359">
        <v>0</v>
      </c>
      <c r="R16" s="359">
        <f t="shared" si="1"/>
        <v>31138</v>
      </c>
      <c r="S16" s="378"/>
      <c r="T16" s="359">
        <f>ROUND(I16*41%, 0)</f>
        <v>8380</v>
      </c>
      <c r="U16" s="378"/>
      <c r="V16" s="359">
        <f t="shared" si="2"/>
        <v>39518</v>
      </c>
      <c r="W16" s="359">
        <f>T16</f>
        <v>8380</v>
      </c>
      <c r="X16" s="359">
        <v>0</v>
      </c>
      <c r="Y16" s="359">
        <f>ROUND(I16*25%,0)</f>
        <v>5110</v>
      </c>
      <c r="Z16" s="359">
        <v>0</v>
      </c>
      <c r="AA16" s="359">
        <f>M16</f>
        <v>9198</v>
      </c>
      <c r="AB16" s="359">
        <v>3144</v>
      </c>
      <c r="AC16" s="359">
        <v>1100</v>
      </c>
      <c r="AD16" s="359">
        <v>200</v>
      </c>
      <c r="AE16" s="359">
        <v>0</v>
      </c>
      <c r="AF16" s="359">
        <v>0</v>
      </c>
      <c r="AG16" s="359">
        <v>0</v>
      </c>
      <c r="AH16" s="359">
        <v>10</v>
      </c>
      <c r="AI16" s="371">
        <f t="shared" si="10"/>
        <v>27142</v>
      </c>
      <c r="AJ16" s="324">
        <f t="shared" si="3"/>
        <v>12376</v>
      </c>
      <c r="AK16" s="348"/>
      <c r="AL16" s="303"/>
      <c r="AM16" s="303"/>
      <c r="AN16" s="303"/>
      <c r="AO16" s="303"/>
      <c r="AP16" s="303"/>
      <c r="AQ16" s="303"/>
    </row>
    <row r="17" spans="2:44" s="322" customFormat="1" ht="23.25" customHeight="1">
      <c r="B17" s="379">
        <f t="shared" si="8"/>
        <v>8</v>
      </c>
      <c r="C17" s="379"/>
      <c r="D17" s="372" t="str">
        <f>D18</f>
        <v>Nazmus Sakib</v>
      </c>
      <c r="E17" s="379" t="str">
        <f>E16</f>
        <v>SO</v>
      </c>
      <c r="F17" s="379" t="s">
        <v>58</v>
      </c>
      <c r="G17" s="374">
        <v>22000</v>
      </c>
      <c r="H17" s="378"/>
      <c r="I17" s="378">
        <f>ROUND(G17*19/30,0)</f>
        <v>13933</v>
      </c>
      <c r="J17" s="378"/>
      <c r="K17" s="378"/>
      <c r="L17" s="378"/>
      <c r="M17" s="378">
        <f>ROUND(I17*0.45,0)</f>
        <v>6270</v>
      </c>
      <c r="N17" s="378">
        <f>ROUND(1500*19/30,0)</f>
        <v>950</v>
      </c>
      <c r="O17" s="378"/>
      <c r="P17" s="378"/>
      <c r="Q17" s="378"/>
      <c r="R17" s="378">
        <f t="shared" si="1"/>
        <v>21153</v>
      </c>
      <c r="S17" s="378">
        <f t="shared" si="12"/>
        <v>1393</v>
      </c>
      <c r="T17" s="378"/>
      <c r="U17" s="378">
        <f t="shared" si="13"/>
        <v>1393</v>
      </c>
      <c r="V17" s="378">
        <f t="shared" si="2"/>
        <v>23939</v>
      </c>
      <c r="W17" s="378">
        <f>S17</f>
        <v>1393</v>
      </c>
      <c r="X17" s="378">
        <f t="shared" ref="X17" si="18">ROUND(I17*10%,0)</f>
        <v>1393</v>
      </c>
      <c r="Y17" s="378">
        <f t="shared" ref="Y17" si="19">ROUND(I17*10%,0)</f>
        <v>1393</v>
      </c>
      <c r="Z17" s="378">
        <v>0</v>
      </c>
      <c r="AA17" s="378">
        <v>0</v>
      </c>
      <c r="AB17" s="378">
        <v>0</v>
      </c>
      <c r="AC17" s="378">
        <v>0</v>
      </c>
      <c r="AD17" s="378">
        <v>200</v>
      </c>
      <c r="AE17" s="378">
        <v>0</v>
      </c>
      <c r="AF17" s="378">
        <v>0</v>
      </c>
      <c r="AG17" s="378">
        <v>0</v>
      </c>
      <c r="AH17" s="378">
        <v>10</v>
      </c>
      <c r="AI17" s="371">
        <f t="shared" ref="AI17" si="20">SUM(W17:AH17)</f>
        <v>4389</v>
      </c>
      <c r="AJ17" s="324">
        <f t="shared" ref="AJ17" si="21">V17-AI17</f>
        <v>19550</v>
      </c>
      <c r="AK17" s="348"/>
      <c r="AL17" s="303"/>
      <c r="AM17" s="303"/>
      <c r="AN17" s="303"/>
      <c r="AO17" s="303"/>
      <c r="AP17" s="303"/>
      <c r="AQ17" s="303"/>
    </row>
    <row r="18" spans="2:44" s="322" customFormat="1" ht="23.25" customHeight="1">
      <c r="B18" s="379">
        <f t="shared" si="8"/>
        <v>9</v>
      </c>
      <c r="C18" s="357">
        <v>2698</v>
      </c>
      <c r="D18" s="372" t="s">
        <v>235</v>
      </c>
      <c r="E18" s="357" t="s">
        <v>1</v>
      </c>
      <c r="F18" s="357" t="s">
        <v>58</v>
      </c>
      <c r="G18" s="374">
        <v>16800</v>
      </c>
      <c r="H18" s="359">
        <v>0</v>
      </c>
      <c r="I18" s="359">
        <f>ROUND(G18*11/30,0)</f>
        <v>6160</v>
      </c>
      <c r="J18" s="359">
        <v>0</v>
      </c>
      <c r="K18" s="359">
        <v>0</v>
      </c>
      <c r="L18" s="359">
        <v>0</v>
      </c>
      <c r="M18" s="359">
        <f>ROUND(8000*11/30,0)</f>
        <v>2933</v>
      </c>
      <c r="N18" s="378">
        <f>ROUND(1500*11/30,0)</f>
        <v>550</v>
      </c>
      <c r="O18" s="359">
        <v>0</v>
      </c>
      <c r="P18" s="359">
        <v>0</v>
      </c>
      <c r="Q18" s="359">
        <v>0</v>
      </c>
      <c r="R18" s="378">
        <f t="shared" si="1"/>
        <v>9643</v>
      </c>
      <c r="S18" s="378">
        <f t="shared" si="12"/>
        <v>616</v>
      </c>
      <c r="T18" s="359">
        <v>0</v>
      </c>
      <c r="U18" s="378">
        <f t="shared" si="13"/>
        <v>616</v>
      </c>
      <c r="V18" s="378">
        <f t="shared" si="2"/>
        <v>10875</v>
      </c>
      <c r="W18" s="359">
        <f>S18</f>
        <v>616</v>
      </c>
      <c r="X18" s="359">
        <f t="shared" si="15"/>
        <v>616</v>
      </c>
      <c r="Y18" s="359">
        <f t="shared" si="16"/>
        <v>616</v>
      </c>
      <c r="Z18" s="359">
        <v>0</v>
      </c>
      <c r="AA18" s="359">
        <v>0</v>
      </c>
      <c r="AB18" s="359">
        <v>0</v>
      </c>
      <c r="AC18" s="359">
        <v>0</v>
      </c>
      <c r="AD18" s="359">
        <v>200</v>
      </c>
      <c r="AE18" s="359">
        <v>0</v>
      </c>
      <c r="AF18" s="359">
        <v>0</v>
      </c>
      <c r="AG18" s="359">
        <v>0</v>
      </c>
      <c r="AH18" s="359">
        <v>10</v>
      </c>
      <c r="AI18" s="371">
        <f t="shared" si="10"/>
        <v>2058</v>
      </c>
      <c r="AJ18" s="324">
        <f t="shared" si="3"/>
        <v>8817</v>
      </c>
      <c r="AK18" s="348"/>
      <c r="AL18" s="303"/>
      <c r="AM18" s="303"/>
      <c r="AN18" s="303"/>
      <c r="AO18" s="303"/>
      <c r="AP18" s="303"/>
      <c r="AQ18" s="303"/>
    </row>
    <row r="19" spans="2:44" s="323" customFormat="1" ht="23.25" customHeight="1">
      <c r="B19" s="359"/>
      <c r="C19" s="359"/>
      <c r="D19" s="359" t="s">
        <v>60</v>
      </c>
      <c r="E19" s="357"/>
      <c r="F19" s="357"/>
      <c r="G19" s="324">
        <f t="shared" ref="G19:AJ19" si="22">SUM(G10:G18)</f>
        <v>302200</v>
      </c>
      <c r="H19" s="324">
        <f t="shared" si="22"/>
        <v>0</v>
      </c>
      <c r="I19" s="324">
        <f t="shared" si="22"/>
        <v>283493</v>
      </c>
      <c r="J19" s="324">
        <f t="shared" si="22"/>
        <v>0</v>
      </c>
      <c r="K19" s="324">
        <f t="shared" si="22"/>
        <v>200</v>
      </c>
      <c r="L19" s="324">
        <f t="shared" si="22"/>
        <v>3500</v>
      </c>
      <c r="M19" s="324">
        <f t="shared" si="22"/>
        <v>118662</v>
      </c>
      <c r="N19" s="324">
        <f t="shared" si="22"/>
        <v>12000</v>
      </c>
      <c r="O19" s="324">
        <f t="shared" si="22"/>
        <v>0</v>
      </c>
      <c r="P19" s="324">
        <f t="shared" si="22"/>
        <v>0</v>
      </c>
      <c r="Q19" s="324">
        <f t="shared" si="22"/>
        <v>400</v>
      </c>
      <c r="R19" s="324">
        <f t="shared" si="22"/>
        <v>418255</v>
      </c>
      <c r="S19" s="324">
        <f t="shared" si="22"/>
        <v>18466</v>
      </c>
      <c r="T19" s="324">
        <f t="shared" si="22"/>
        <v>40520</v>
      </c>
      <c r="U19" s="324">
        <f t="shared" si="22"/>
        <v>18466</v>
      </c>
      <c r="V19" s="324">
        <f t="shared" si="22"/>
        <v>495707</v>
      </c>
      <c r="W19" s="324">
        <f t="shared" si="22"/>
        <v>58986</v>
      </c>
      <c r="X19" s="324">
        <f t="shared" si="22"/>
        <v>18466</v>
      </c>
      <c r="Y19" s="324">
        <f t="shared" si="22"/>
        <v>35143</v>
      </c>
      <c r="Z19" s="324">
        <f t="shared" si="22"/>
        <v>0</v>
      </c>
      <c r="AA19" s="324">
        <f t="shared" si="22"/>
        <v>59842</v>
      </c>
      <c r="AB19" s="324">
        <f t="shared" si="22"/>
        <v>15696</v>
      </c>
      <c r="AC19" s="324">
        <f t="shared" si="22"/>
        <v>4935</v>
      </c>
      <c r="AD19" s="324">
        <f t="shared" si="22"/>
        <v>2050</v>
      </c>
      <c r="AE19" s="324">
        <f t="shared" si="22"/>
        <v>18</v>
      </c>
      <c r="AF19" s="324">
        <f t="shared" si="22"/>
        <v>3390</v>
      </c>
      <c r="AG19" s="324">
        <f t="shared" si="22"/>
        <v>0</v>
      </c>
      <c r="AH19" s="324">
        <f t="shared" si="22"/>
        <v>90</v>
      </c>
      <c r="AI19" s="324">
        <f t="shared" si="22"/>
        <v>198616</v>
      </c>
      <c r="AJ19" s="324">
        <f t="shared" si="22"/>
        <v>297091</v>
      </c>
      <c r="AK19" s="348"/>
      <c r="AL19" s="303"/>
      <c r="AM19" s="303"/>
      <c r="AN19" s="303"/>
      <c r="AO19" s="303"/>
      <c r="AP19" s="303"/>
      <c r="AQ19" s="303"/>
    </row>
    <row r="20" spans="2:44" s="323" customFormat="1" ht="12.75" customHeight="1">
      <c r="B20" s="772" t="s">
        <v>151</v>
      </c>
      <c r="C20" s="773"/>
      <c r="D20" s="773"/>
      <c r="E20" s="357"/>
      <c r="F20" s="357"/>
      <c r="G20" s="325"/>
      <c r="H20" s="359"/>
      <c r="I20" s="359"/>
      <c r="J20" s="359"/>
      <c r="K20" s="359"/>
      <c r="L20" s="359"/>
      <c r="M20" s="359"/>
      <c r="N20" s="359"/>
      <c r="O20" s="359"/>
      <c r="P20" s="359"/>
      <c r="Q20" s="359"/>
      <c r="R20" s="359"/>
      <c r="S20" s="359"/>
      <c r="T20" s="359"/>
      <c r="U20" s="359"/>
      <c r="V20" s="359"/>
      <c r="W20" s="328"/>
      <c r="X20" s="328"/>
      <c r="Y20" s="328"/>
      <c r="Z20" s="328"/>
      <c r="AA20" s="328"/>
      <c r="AB20" s="328"/>
      <c r="AC20" s="328"/>
      <c r="AD20" s="328"/>
      <c r="AE20" s="328"/>
      <c r="AF20" s="328"/>
      <c r="AG20" s="328"/>
      <c r="AH20" s="328"/>
      <c r="AI20" s="359"/>
      <c r="AJ20" s="329"/>
      <c r="AK20" s="348"/>
      <c r="AL20" s="303"/>
      <c r="AM20" s="303"/>
      <c r="AN20" s="303"/>
      <c r="AO20" s="303"/>
      <c r="AP20" s="303"/>
      <c r="AQ20" s="303"/>
    </row>
    <row r="21" spans="2:44" s="322" customFormat="1" ht="23.25" customHeight="1">
      <c r="B21" s="357">
        <v>1</v>
      </c>
      <c r="C21" s="357">
        <v>1952</v>
      </c>
      <c r="D21" s="372" t="s">
        <v>61</v>
      </c>
      <c r="E21" s="375" t="s">
        <v>62</v>
      </c>
      <c r="F21" s="357" t="s">
        <v>9</v>
      </c>
      <c r="G21" s="374">
        <v>19320</v>
      </c>
      <c r="H21" s="359">
        <v>0</v>
      </c>
      <c r="I21" s="359">
        <f>G21+H21</f>
        <v>19320</v>
      </c>
      <c r="J21" s="359">
        <v>0</v>
      </c>
      <c r="K21" s="359">
        <v>0</v>
      </c>
      <c r="L21" s="359">
        <v>0</v>
      </c>
      <c r="M21" s="359">
        <f>ROUND(IF(OR(I21*45%&gt;8000),I21*45%,8000),0)</f>
        <v>8694</v>
      </c>
      <c r="N21" s="359">
        <v>1500</v>
      </c>
      <c r="O21" s="359">
        <v>300</v>
      </c>
      <c r="P21" s="359">
        <v>100</v>
      </c>
      <c r="Q21" s="359">
        <v>0</v>
      </c>
      <c r="R21" s="359">
        <f>ROUND(I21+J21+K21+L21+M21+N21+O21+P21+Q21,0)</f>
        <v>29914</v>
      </c>
      <c r="S21" s="359">
        <v>0</v>
      </c>
      <c r="T21" s="359">
        <f>ROUND(I21*41%, 0)</f>
        <v>7921</v>
      </c>
      <c r="U21" s="359">
        <v>0</v>
      </c>
      <c r="V21" s="359">
        <f>ROUND(R21+T21+S21,0)</f>
        <v>37835</v>
      </c>
      <c r="W21" s="359">
        <f>T21</f>
        <v>7921</v>
      </c>
      <c r="X21" s="359">
        <v>0</v>
      </c>
      <c r="Y21" s="359">
        <f>ROUND(I21*20%,0)</f>
        <v>3864</v>
      </c>
      <c r="Z21" s="359">
        <v>0</v>
      </c>
      <c r="AA21" s="359">
        <v>11960</v>
      </c>
      <c r="AB21" s="359">
        <v>3144</v>
      </c>
      <c r="AC21" s="359">
        <v>1100</v>
      </c>
      <c r="AD21" s="359">
        <v>100</v>
      </c>
      <c r="AE21" s="359">
        <v>0</v>
      </c>
      <c r="AF21" s="359">
        <v>0</v>
      </c>
      <c r="AG21" s="359">
        <v>0</v>
      </c>
      <c r="AH21" s="359">
        <v>10</v>
      </c>
      <c r="AI21" s="371">
        <f>SUM(W21:AH21)</f>
        <v>28099</v>
      </c>
      <c r="AJ21" s="324">
        <f>V21-AI21</f>
        <v>9736</v>
      </c>
      <c r="AK21" s="348"/>
      <c r="AL21" s="303"/>
      <c r="AM21" s="303"/>
      <c r="AN21" s="303"/>
      <c r="AO21" s="303"/>
      <c r="AP21" s="303"/>
      <c r="AQ21" s="303"/>
    </row>
    <row r="22" spans="2:44" s="322" customFormat="1" ht="23.25" customHeight="1">
      <c r="B22" s="357">
        <f>B21+1</f>
        <v>2</v>
      </c>
      <c r="C22" s="357">
        <v>2202</v>
      </c>
      <c r="D22" s="372" t="s">
        <v>240</v>
      </c>
      <c r="E22" s="375" t="str">
        <f>E21</f>
        <v>SSG-1</v>
      </c>
      <c r="F22" s="357" t="s">
        <v>57</v>
      </c>
      <c r="G22" s="374">
        <v>22530</v>
      </c>
      <c r="H22" s="359"/>
      <c r="I22" s="359">
        <f t="shared" ref="I22:I25" si="23">G22+H22</f>
        <v>22530</v>
      </c>
      <c r="J22" s="359">
        <v>0</v>
      </c>
      <c r="K22" s="359">
        <v>0</v>
      </c>
      <c r="L22" s="359">
        <v>1000</v>
      </c>
      <c r="M22" s="359">
        <f t="shared" ref="M22:M25" si="24">ROUND(IF(OR(I22*45%&gt;8000),I22*45%,8000),0)</f>
        <v>10139</v>
      </c>
      <c r="N22" s="359">
        <v>1500</v>
      </c>
      <c r="O22" s="359">
        <v>300</v>
      </c>
      <c r="P22" s="359">
        <v>100</v>
      </c>
      <c r="Q22" s="359">
        <v>0</v>
      </c>
      <c r="R22" s="359">
        <f t="shared" ref="R22:R25" si="25">ROUND(I22+J22+K22+L22+M22+N22+O22+P22+Q22,0)</f>
        <v>35569</v>
      </c>
      <c r="S22" s="359"/>
      <c r="T22" s="359">
        <f t="shared" ref="T22:T25" si="26">ROUND(I22*41%, 0)</f>
        <v>9237</v>
      </c>
      <c r="U22" s="359"/>
      <c r="V22" s="359">
        <f t="shared" ref="V22:V25" si="27">ROUND(R22+T22+S22,0)</f>
        <v>44806</v>
      </c>
      <c r="W22" s="359">
        <f t="shared" ref="W22:W25" si="28">T22</f>
        <v>9237</v>
      </c>
      <c r="X22" s="359"/>
      <c r="Y22" s="359">
        <f>ROUND(I22*25%,0)</f>
        <v>5633</v>
      </c>
      <c r="Z22" s="359"/>
      <c r="AA22" s="359">
        <f>M22</f>
        <v>10139</v>
      </c>
      <c r="AB22" s="359">
        <v>3144</v>
      </c>
      <c r="AC22" s="359">
        <v>1100</v>
      </c>
      <c r="AD22" s="359">
        <v>100</v>
      </c>
      <c r="AE22" s="359">
        <v>0</v>
      </c>
      <c r="AF22" s="359">
        <v>0</v>
      </c>
      <c r="AG22" s="359">
        <v>30</v>
      </c>
      <c r="AH22" s="359">
        <v>10</v>
      </c>
      <c r="AI22" s="371">
        <f t="shared" ref="AI22:AI25" si="29">SUM(W22:AH22)</f>
        <v>29393</v>
      </c>
      <c r="AJ22" s="324">
        <f t="shared" ref="AJ22:AJ25" si="30">V22-AI22</f>
        <v>15413</v>
      </c>
      <c r="AK22" s="348"/>
      <c r="AL22" s="303"/>
      <c r="AM22" s="303"/>
      <c r="AN22" s="303"/>
      <c r="AO22" s="303"/>
      <c r="AP22" s="303"/>
      <c r="AQ22" s="303"/>
    </row>
    <row r="23" spans="2:44" s="322" customFormat="1" ht="23.25" customHeight="1">
      <c r="B23" s="357">
        <f t="shared" ref="B23:B24" si="31">B22+1</f>
        <v>3</v>
      </c>
      <c r="C23" s="357">
        <v>1863</v>
      </c>
      <c r="D23" s="372" t="s">
        <v>63</v>
      </c>
      <c r="E23" s="375" t="s">
        <v>64</v>
      </c>
      <c r="F23" s="357" t="s">
        <v>9</v>
      </c>
      <c r="G23" s="374">
        <v>19310</v>
      </c>
      <c r="H23" s="359">
        <v>0</v>
      </c>
      <c r="I23" s="359">
        <f t="shared" si="23"/>
        <v>19310</v>
      </c>
      <c r="J23" s="359">
        <v>0</v>
      </c>
      <c r="K23" s="359">
        <v>0</v>
      </c>
      <c r="L23" s="359">
        <v>500</v>
      </c>
      <c r="M23" s="359">
        <f t="shared" si="24"/>
        <v>8690</v>
      </c>
      <c r="N23" s="359">
        <v>1500</v>
      </c>
      <c r="O23" s="359">
        <v>300</v>
      </c>
      <c r="P23" s="359">
        <v>100</v>
      </c>
      <c r="Q23" s="359">
        <v>0</v>
      </c>
      <c r="R23" s="359">
        <f t="shared" si="25"/>
        <v>30400</v>
      </c>
      <c r="S23" s="359">
        <v>0</v>
      </c>
      <c r="T23" s="359">
        <f t="shared" si="26"/>
        <v>7917</v>
      </c>
      <c r="U23" s="359">
        <v>0</v>
      </c>
      <c r="V23" s="359">
        <f t="shared" si="27"/>
        <v>38317</v>
      </c>
      <c r="W23" s="359">
        <f t="shared" si="28"/>
        <v>7917</v>
      </c>
      <c r="X23" s="359">
        <v>0</v>
      </c>
      <c r="Y23" s="359">
        <f>ROUND(I23*10%,0)</f>
        <v>1931</v>
      </c>
      <c r="Z23" s="359">
        <v>3000</v>
      </c>
      <c r="AA23" s="359">
        <v>2400</v>
      </c>
      <c r="AB23" s="359">
        <v>3144</v>
      </c>
      <c r="AC23" s="359">
        <v>0</v>
      </c>
      <c r="AD23" s="359">
        <v>100</v>
      </c>
      <c r="AE23" s="359">
        <v>0</v>
      </c>
      <c r="AF23" s="359">
        <v>0</v>
      </c>
      <c r="AG23" s="359">
        <v>0</v>
      </c>
      <c r="AH23" s="359">
        <v>10</v>
      </c>
      <c r="AI23" s="371">
        <f t="shared" si="29"/>
        <v>18502</v>
      </c>
      <c r="AJ23" s="324">
        <f t="shared" si="30"/>
        <v>19815</v>
      </c>
      <c r="AK23" s="348"/>
      <c r="AL23" s="303"/>
      <c r="AM23" s="303"/>
      <c r="AN23" s="303"/>
      <c r="AO23" s="303"/>
      <c r="AP23" s="303"/>
      <c r="AQ23" s="303"/>
    </row>
    <row r="24" spans="2:44" s="321" customFormat="1" ht="23.25" customHeight="1">
      <c r="B24" s="357">
        <f t="shared" si="31"/>
        <v>4</v>
      </c>
      <c r="C24" s="357">
        <v>1892</v>
      </c>
      <c r="D24" s="373" t="s">
        <v>65</v>
      </c>
      <c r="E24" s="375" t="s">
        <v>64</v>
      </c>
      <c r="F24" s="357" t="s">
        <v>9</v>
      </c>
      <c r="G24" s="374">
        <v>19310</v>
      </c>
      <c r="H24" s="359">
        <v>0</v>
      </c>
      <c r="I24" s="359">
        <f t="shared" si="23"/>
        <v>19310</v>
      </c>
      <c r="J24" s="359">
        <v>0</v>
      </c>
      <c r="K24" s="359">
        <v>0</v>
      </c>
      <c r="L24" s="376">
        <v>1000</v>
      </c>
      <c r="M24" s="359">
        <f t="shared" si="24"/>
        <v>8690</v>
      </c>
      <c r="N24" s="359">
        <v>1500</v>
      </c>
      <c r="O24" s="359">
        <v>300</v>
      </c>
      <c r="P24" s="359">
        <v>100</v>
      </c>
      <c r="Q24" s="359">
        <v>0</v>
      </c>
      <c r="R24" s="359">
        <f t="shared" si="25"/>
        <v>30900</v>
      </c>
      <c r="S24" s="359">
        <v>0</v>
      </c>
      <c r="T24" s="359">
        <f t="shared" si="26"/>
        <v>7917</v>
      </c>
      <c r="U24" s="359">
        <v>0</v>
      </c>
      <c r="V24" s="359">
        <f t="shared" si="27"/>
        <v>38817</v>
      </c>
      <c r="W24" s="359">
        <f t="shared" si="28"/>
        <v>7917</v>
      </c>
      <c r="X24" s="359">
        <v>0</v>
      </c>
      <c r="Y24" s="359">
        <f>ROUND(I24*8%,0)</f>
        <v>1545</v>
      </c>
      <c r="Z24" s="359">
        <v>0</v>
      </c>
      <c r="AA24" s="359">
        <f>M24</f>
        <v>8690</v>
      </c>
      <c r="AB24" s="359">
        <v>3144</v>
      </c>
      <c r="AC24" s="359">
        <v>1100</v>
      </c>
      <c r="AD24" s="359">
        <v>100</v>
      </c>
      <c r="AE24" s="359">
        <v>0</v>
      </c>
      <c r="AF24" s="359">
        <v>0</v>
      </c>
      <c r="AG24" s="359">
        <v>0</v>
      </c>
      <c r="AH24" s="359">
        <v>10</v>
      </c>
      <c r="AI24" s="371">
        <f t="shared" si="29"/>
        <v>22506</v>
      </c>
      <c r="AJ24" s="324">
        <f t="shared" si="30"/>
        <v>16311</v>
      </c>
      <c r="AK24" s="348"/>
      <c r="AL24" s="303"/>
      <c r="AM24" s="303"/>
      <c r="AN24" s="303"/>
      <c r="AO24" s="303"/>
      <c r="AP24" s="303"/>
      <c r="AQ24" s="303"/>
    </row>
    <row r="25" spans="2:44" s="321" customFormat="1" ht="23.25" customHeight="1">
      <c r="B25" s="357">
        <f>B24+1</f>
        <v>5</v>
      </c>
      <c r="C25" s="357">
        <v>1895</v>
      </c>
      <c r="D25" s="373" t="s">
        <v>241</v>
      </c>
      <c r="E25" s="375" t="s">
        <v>64</v>
      </c>
      <c r="F25" s="357" t="s">
        <v>9</v>
      </c>
      <c r="G25" s="374">
        <v>17600</v>
      </c>
      <c r="H25" s="359"/>
      <c r="I25" s="359">
        <f t="shared" si="23"/>
        <v>17600</v>
      </c>
      <c r="J25" s="359">
        <v>0</v>
      </c>
      <c r="K25" s="359">
        <v>0</v>
      </c>
      <c r="L25" s="376">
        <v>0</v>
      </c>
      <c r="M25" s="359">
        <f t="shared" si="24"/>
        <v>8000</v>
      </c>
      <c r="N25" s="359">
        <v>1500</v>
      </c>
      <c r="O25" s="359">
        <v>300</v>
      </c>
      <c r="P25" s="359">
        <v>100</v>
      </c>
      <c r="Q25" s="359">
        <v>0</v>
      </c>
      <c r="R25" s="359">
        <f t="shared" si="25"/>
        <v>27500</v>
      </c>
      <c r="S25" s="359"/>
      <c r="T25" s="359">
        <f t="shared" si="26"/>
        <v>7216</v>
      </c>
      <c r="U25" s="359"/>
      <c r="V25" s="359">
        <f t="shared" si="27"/>
        <v>34716</v>
      </c>
      <c r="W25" s="359">
        <f t="shared" si="28"/>
        <v>7216</v>
      </c>
      <c r="X25" s="359"/>
      <c r="Y25" s="359">
        <f>ROUND(I25*8%,0)</f>
        <v>1408</v>
      </c>
      <c r="Z25" s="359"/>
      <c r="AA25" s="359">
        <f>M25</f>
        <v>8000</v>
      </c>
      <c r="AB25" s="359">
        <v>3144</v>
      </c>
      <c r="AC25" s="359">
        <v>1100</v>
      </c>
      <c r="AD25" s="359">
        <v>100</v>
      </c>
      <c r="AE25" s="359">
        <v>0</v>
      </c>
      <c r="AF25" s="359">
        <v>0</v>
      </c>
      <c r="AG25" s="359">
        <v>0</v>
      </c>
      <c r="AH25" s="359">
        <v>10</v>
      </c>
      <c r="AI25" s="371">
        <f t="shared" si="29"/>
        <v>20978</v>
      </c>
      <c r="AJ25" s="324">
        <f t="shared" si="30"/>
        <v>13738</v>
      </c>
      <c r="AK25" s="348"/>
      <c r="AL25" s="303"/>
      <c r="AM25" s="303"/>
      <c r="AN25" s="303"/>
      <c r="AO25" s="303"/>
      <c r="AP25" s="303"/>
      <c r="AQ25" s="303"/>
    </row>
    <row r="26" spans="2:44" s="322" customFormat="1" ht="23.25" customHeight="1">
      <c r="B26" s="357"/>
      <c r="C26" s="357"/>
      <c r="D26" s="359" t="s">
        <v>66</v>
      </c>
      <c r="E26" s="359"/>
      <c r="F26" s="359"/>
      <c r="G26" s="324">
        <f>SUM(G21:G25)</f>
        <v>98070</v>
      </c>
      <c r="H26" s="324">
        <f t="shared" ref="H26:AI26" si="32">SUM(H21:H25)</f>
        <v>0</v>
      </c>
      <c r="I26" s="324">
        <f t="shared" si="32"/>
        <v>98070</v>
      </c>
      <c r="J26" s="324">
        <f t="shared" si="32"/>
        <v>0</v>
      </c>
      <c r="K26" s="324">
        <f t="shared" si="32"/>
        <v>0</v>
      </c>
      <c r="L26" s="324">
        <f t="shared" si="32"/>
        <v>2500</v>
      </c>
      <c r="M26" s="324">
        <f t="shared" si="32"/>
        <v>44213</v>
      </c>
      <c r="N26" s="324">
        <f t="shared" si="32"/>
        <v>7500</v>
      </c>
      <c r="O26" s="324">
        <f t="shared" si="32"/>
        <v>1500</v>
      </c>
      <c r="P26" s="324">
        <f t="shared" si="32"/>
        <v>500</v>
      </c>
      <c r="Q26" s="324">
        <f t="shared" si="32"/>
        <v>0</v>
      </c>
      <c r="R26" s="324">
        <f t="shared" si="32"/>
        <v>154283</v>
      </c>
      <c r="S26" s="324">
        <f t="shared" si="32"/>
        <v>0</v>
      </c>
      <c r="T26" s="324">
        <f t="shared" si="32"/>
        <v>40208</v>
      </c>
      <c r="U26" s="324">
        <f t="shared" si="32"/>
        <v>0</v>
      </c>
      <c r="V26" s="324">
        <f t="shared" si="32"/>
        <v>194491</v>
      </c>
      <c r="W26" s="324">
        <f t="shared" si="32"/>
        <v>40208</v>
      </c>
      <c r="X26" s="324">
        <f t="shared" si="32"/>
        <v>0</v>
      </c>
      <c r="Y26" s="324">
        <f t="shared" si="32"/>
        <v>14381</v>
      </c>
      <c r="Z26" s="324">
        <f t="shared" si="32"/>
        <v>3000</v>
      </c>
      <c r="AA26" s="324">
        <f t="shared" si="32"/>
        <v>41189</v>
      </c>
      <c r="AB26" s="324">
        <f t="shared" si="32"/>
        <v>15720</v>
      </c>
      <c r="AC26" s="324">
        <f t="shared" si="32"/>
        <v>4400</v>
      </c>
      <c r="AD26" s="324">
        <f t="shared" si="32"/>
        <v>500</v>
      </c>
      <c r="AE26" s="324">
        <f t="shared" si="32"/>
        <v>0</v>
      </c>
      <c r="AF26" s="324">
        <f t="shared" si="32"/>
        <v>0</v>
      </c>
      <c r="AG26" s="324">
        <f t="shared" si="32"/>
        <v>30</v>
      </c>
      <c r="AH26" s="324">
        <f t="shared" si="32"/>
        <v>50</v>
      </c>
      <c r="AI26" s="324">
        <f t="shared" si="32"/>
        <v>119478</v>
      </c>
      <c r="AJ26" s="324">
        <f>SUM(AJ21:AJ25)</f>
        <v>75013</v>
      </c>
      <c r="AK26" s="348"/>
      <c r="AL26" s="303"/>
      <c r="AM26" s="303"/>
      <c r="AN26" s="303"/>
      <c r="AO26" s="303"/>
      <c r="AP26" s="303"/>
      <c r="AQ26" s="303"/>
    </row>
    <row r="27" spans="2:44" s="327" customFormat="1" ht="23.25" customHeight="1">
      <c r="B27" s="774" t="s">
        <v>155</v>
      </c>
      <c r="C27" s="774"/>
      <c r="D27" s="774"/>
      <c r="E27" s="359"/>
      <c r="F27" s="359"/>
      <c r="G27" s="324">
        <f t="shared" ref="G27:AI27" si="33">G26+G19</f>
        <v>400270</v>
      </c>
      <c r="H27" s="324">
        <f t="shared" si="33"/>
        <v>0</v>
      </c>
      <c r="I27" s="324">
        <f t="shared" si="33"/>
        <v>381563</v>
      </c>
      <c r="J27" s="324">
        <f t="shared" si="33"/>
        <v>0</v>
      </c>
      <c r="K27" s="324">
        <f t="shared" si="33"/>
        <v>200</v>
      </c>
      <c r="L27" s="324">
        <f t="shared" si="33"/>
        <v>6000</v>
      </c>
      <c r="M27" s="324">
        <f t="shared" si="33"/>
        <v>162875</v>
      </c>
      <c r="N27" s="324">
        <f t="shared" si="33"/>
        <v>19500</v>
      </c>
      <c r="O27" s="324">
        <f t="shared" si="33"/>
        <v>1500</v>
      </c>
      <c r="P27" s="324">
        <f t="shared" si="33"/>
        <v>500</v>
      </c>
      <c r="Q27" s="324">
        <f t="shared" si="33"/>
        <v>400</v>
      </c>
      <c r="R27" s="324">
        <f t="shared" si="33"/>
        <v>572538</v>
      </c>
      <c r="S27" s="324">
        <f t="shared" si="33"/>
        <v>18466</v>
      </c>
      <c r="T27" s="324">
        <f t="shared" si="33"/>
        <v>80728</v>
      </c>
      <c r="U27" s="324">
        <f t="shared" si="33"/>
        <v>18466</v>
      </c>
      <c r="V27" s="324">
        <f t="shared" si="33"/>
        <v>690198</v>
      </c>
      <c r="W27" s="324">
        <f t="shared" si="33"/>
        <v>99194</v>
      </c>
      <c r="X27" s="324">
        <f t="shared" si="33"/>
        <v>18466</v>
      </c>
      <c r="Y27" s="324">
        <f t="shared" si="33"/>
        <v>49524</v>
      </c>
      <c r="Z27" s="324">
        <f t="shared" si="33"/>
        <v>3000</v>
      </c>
      <c r="AA27" s="324">
        <f t="shared" si="33"/>
        <v>101031</v>
      </c>
      <c r="AB27" s="324">
        <f t="shared" si="33"/>
        <v>31416</v>
      </c>
      <c r="AC27" s="324">
        <f t="shared" si="33"/>
        <v>9335</v>
      </c>
      <c r="AD27" s="324">
        <f t="shared" si="33"/>
        <v>2550</v>
      </c>
      <c r="AE27" s="324">
        <f t="shared" si="33"/>
        <v>18</v>
      </c>
      <c r="AF27" s="324">
        <f t="shared" si="33"/>
        <v>3390</v>
      </c>
      <c r="AG27" s="324">
        <f t="shared" si="33"/>
        <v>30</v>
      </c>
      <c r="AH27" s="324">
        <f t="shared" si="33"/>
        <v>140</v>
      </c>
      <c r="AI27" s="324">
        <f t="shared" si="33"/>
        <v>318094</v>
      </c>
      <c r="AJ27" s="324">
        <f>AJ26+AJ19</f>
        <v>372104</v>
      </c>
      <c r="AK27" s="348"/>
      <c r="AL27" s="303"/>
      <c r="AM27" s="303"/>
      <c r="AN27" s="303"/>
      <c r="AO27" s="303"/>
      <c r="AP27" s="303"/>
      <c r="AQ27" s="303"/>
    </row>
    <row r="28" spans="2:44" s="327" customFormat="1" ht="23.25" customHeight="1">
      <c r="B28" s="328"/>
      <c r="C28" s="328"/>
      <c r="D28" s="328"/>
      <c r="E28" s="328"/>
      <c r="F28" s="328"/>
      <c r="G28" s="329"/>
      <c r="H28" s="328"/>
      <c r="I28" s="328"/>
      <c r="J28" s="328"/>
      <c r="K28" s="328"/>
      <c r="L28" s="328"/>
      <c r="M28" s="328"/>
      <c r="N28" s="328"/>
      <c r="O28" s="328"/>
      <c r="P28" s="328"/>
      <c r="Q28" s="328"/>
      <c r="R28" s="328"/>
      <c r="S28" s="328"/>
      <c r="T28" s="328"/>
      <c r="U28" s="328"/>
      <c r="V28" s="328"/>
      <c r="W28" s="330"/>
      <c r="X28" s="330"/>
      <c r="Y28" s="330"/>
      <c r="Z28" s="330"/>
      <c r="AA28" s="330"/>
      <c r="AB28" s="330"/>
      <c r="AC28" s="330"/>
      <c r="AD28" s="330"/>
      <c r="AE28" s="330"/>
      <c r="AF28" s="330"/>
      <c r="AG28" s="330"/>
      <c r="AH28" s="306"/>
      <c r="AI28" s="306"/>
      <c r="AJ28" s="307"/>
      <c r="AK28" s="306"/>
      <c r="AL28" s="303"/>
      <c r="AM28" s="303"/>
      <c r="AN28" s="303"/>
      <c r="AO28" s="303"/>
      <c r="AP28" s="303"/>
      <c r="AQ28" s="303"/>
      <c r="AR28" s="303"/>
    </row>
    <row r="29" spans="2:44" ht="23.25" customHeight="1">
      <c r="B29" s="304"/>
      <c r="C29" s="331"/>
      <c r="D29" s="332" t="s">
        <v>67</v>
      </c>
      <c r="E29" s="380">
        <f>V27</f>
        <v>690198</v>
      </c>
      <c r="F29" s="333" t="str">
        <f>spellnumber(E29)</f>
        <v>Six Hundred Ninety  Thousand One Hundred Ninety Eight Taka and No Paisa</v>
      </c>
      <c r="G29" s="334"/>
      <c r="H29" s="331"/>
      <c r="I29" s="331"/>
      <c r="J29" s="331"/>
      <c r="K29" s="331"/>
      <c r="L29" s="331"/>
      <c r="M29" s="331"/>
      <c r="N29" s="331"/>
      <c r="O29" s="331"/>
      <c r="P29" s="331"/>
      <c r="Q29" s="331"/>
      <c r="R29" s="331"/>
      <c r="S29" s="331"/>
      <c r="T29" s="331"/>
      <c r="U29" s="331"/>
      <c r="V29" s="331"/>
      <c r="W29" s="306"/>
      <c r="X29" s="306"/>
      <c r="Y29" s="306"/>
      <c r="Z29" s="306"/>
      <c r="AA29" s="306"/>
      <c r="AB29" s="306"/>
      <c r="AC29" s="306"/>
      <c r="AD29" s="306"/>
      <c r="AE29" s="306"/>
      <c r="AF29" s="306"/>
      <c r="AG29" s="306"/>
    </row>
    <row r="30" spans="2:44" s="322" customFormat="1" ht="23.25" customHeight="1">
      <c r="B30" s="335"/>
      <c r="C30" s="335"/>
      <c r="D30" s="326"/>
      <c r="E30" s="336"/>
      <c r="F30" s="326"/>
      <c r="G30" s="323"/>
      <c r="H30" s="326"/>
      <c r="I30" s="326"/>
      <c r="J30" s="326"/>
      <c r="K30" s="326"/>
      <c r="L30" s="326"/>
      <c r="M30" s="326"/>
      <c r="N30" s="326"/>
      <c r="O30" s="326"/>
      <c r="P30" s="326"/>
      <c r="Q30" s="326"/>
      <c r="R30" s="326"/>
      <c r="S30" s="326"/>
      <c r="T30" s="326"/>
      <c r="U30" s="326"/>
      <c r="V30" s="326"/>
      <c r="W30" s="337"/>
      <c r="X30" s="337"/>
      <c r="Y30" s="337"/>
      <c r="Z30" s="337"/>
      <c r="AA30" s="337"/>
      <c r="AB30" s="337"/>
      <c r="AC30" s="337"/>
      <c r="AD30" s="337"/>
      <c r="AE30" s="337"/>
      <c r="AF30" s="337"/>
      <c r="AG30" s="337"/>
      <c r="AH30" s="337"/>
      <c r="AI30" s="337"/>
      <c r="AK30" s="337"/>
      <c r="AL30" s="303"/>
      <c r="AM30" s="303"/>
      <c r="AN30" s="303"/>
      <c r="AO30" s="303"/>
      <c r="AP30" s="303"/>
      <c r="AQ30" s="303"/>
      <c r="AR30" s="303"/>
    </row>
    <row r="31" spans="2:44" ht="23.25" customHeight="1">
      <c r="B31" s="338"/>
      <c r="H31" s="339"/>
      <c r="I31" s="340"/>
      <c r="J31" s="341" t="s">
        <v>6</v>
      </c>
      <c r="K31" s="341"/>
      <c r="L31" s="306"/>
      <c r="M31" s="306"/>
      <c r="N31" s="341"/>
      <c r="O31" s="341"/>
      <c r="P31" s="341"/>
      <c r="Q31" s="341"/>
      <c r="R31" s="341"/>
      <c r="S31" s="341"/>
      <c r="T31" s="341"/>
      <c r="U31" s="341"/>
      <c r="V31" s="341"/>
      <c r="W31" s="306"/>
      <c r="X31" s="306"/>
      <c r="Y31" s="306"/>
      <c r="Z31" s="306"/>
      <c r="AA31" s="306"/>
      <c r="AB31" s="306"/>
      <c r="AC31" s="306"/>
      <c r="AD31" s="306"/>
      <c r="AE31" s="306"/>
      <c r="AF31" s="306"/>
      <c r="AG31" s="306"/>
      <c r="AH31" s="306"/>
      <c r="AI31" s="306"/>
      <c r="AK31" s="306"/>
    </row>
    <row r="32" spans="2:44" ht="23.25" customHeight="1">
      <c r="B32" s="338"/>
      <c r="H32" s="339"/>
      <c r="I32" s="340"/>
      <c r="J32" s="341"/>
      <c r="K32" s="341"/>
      <c r="L32" s="306"/>
      <c r="M32" s="306">
        <f>AA27+AB27+AC27</f>
        <v>141782</v>
      </c>
      <c r="N32" s="341"/>
      <c r="O32" s="341"/>
      <c r="P32" s="341"/>
      <c r="Q32" s="341"/>
      <c r="R32" s="341"/>
      <c r="S32" s="341"/>
      <c r="T32" s="341"/>
      <c r="U32" s="341"/>
      <c r="V32" s="341"/>
      <c r="W32" s="306"/>
      <c r="X32" s="306"/>
      <c r="Y32" s="306"/>
      <c r="Z32" s="306"/>
      <c r="AA32" s="306"/>
      <c r="AB32" s="306"/>
      <c r="AC32" s="306"/>
      <c r="AD32" s="306"/>
      <c r="AE32" s="306"/>
      <c r="AF32" s="306"/>
      <c r="AG32" s="306"/>
      <c r="AH32" s="306"/>
      <c r="AI32" s="306"/>
      <c r="AK32" s="306"/>
    </row>
    <row r="33" spans="1:44" ht="23.25" customHeight="1">
      <c r="B33" s="338"/>
      <c r="I33" s="340"/>
      <c r="J33" s="340"/>
      <c r="K33" s="340"/>
      <c r="L33" s="340"/>
      <c r="M33" s="340">
        <f>AJ27</f>
        <v>372104</v>
      </c>
      <c r="N33" s="340"/>
      <c r="O33" s="340"/>
      <c r="P33" s="340"/>
      <c r="Q33" s="340"/>
      <c r="R33" s="340"/>
      <c r="S33" s="340"/>
      <c r="T33" s="340"/>
      <c r="U33" s="340"/>
      <c r="V33" s="340"/>
      <c r="W33" s="306"/>
      <c r="X33" s="306"/>
      <c r="Y33" s="306"/>
      <c r="Z33" s="306"/>
      <c r="AA33" s="306"/>
      <c r="AB33" s="306"/>
      <c r="AC33" s="306"/>
      <c r="AD33" s="306"/>
      <c r="AE33" s="306"/>
      <c r="AF33" s="306"/>
      <c r="AG33" s="306"/>
      <c r="AH33" s="306"/>
      <c r="AI33" s="306"/>
      <c r="AK33" s="306"/>
    </row>
    <row r="34" spans="1:44" ht="23.25" customHeight="1">
      <c r="A34" s="342"/>
      <c r="B34" s="343"/>
      <c r="C34" s="344"/>
      <c r="D34" s="344" t="s">
        <v>245</v>
      </c>
      <c r="E34" s="344"/>
      <c r="F34" s="344"/>
      <c r="G34" s="345"/>
      <c r="H34" s="344"/>
      <c r="M34" s="306">
        <f>SUM(M32:M33)</f>
        <v>513886</v>
      </c>
      <c r="O34" s="344" t="s">
        <v>246</v>
      </c>
      <c r="P34" s="344"/>
      <c r="R34" s="344"/>
      <c r="T34" s="344"/>
      <c r="U34" s="344"/>
      <c r="W34" s="355"/>
      <c r="X34" s="344"/>
      <c r="Y34" s="344"/>
      <c r="Z34" s="344"/>
      <c r="AA34" s="344"/>
      <c r="AB34" s="344"/>
      <c r="AC34" s="344"/>
      <c r="AE34" s="344"/>
      <c r="AF34" s="780" t="s">
        <v>205</v>
      </c>
      <c r="AG34" s="780"/>
      <c r="AH34" s="780"/>
      <c r="AI34" s="780"/>
      <c r="AJ34" s="780"/>
      <c r="AK34" s="344"/>
    </row>
    <row r="35" spans="1:44" s="346" customFormat="1" ht="23.25" customHeight="1">
      <c r="A35" s="304"/>
      <c r="B35" s="329"/>
      <c r="C35" s="329"/>
      <c r="D35" s="329"/>
      <c r="E35" s="329"/>
      <c r="F35" s="329"/>
      <c r="G35" s="329"/>
      <c r="H35" s="329"/>
      <c r="I35" s="328"/>
      <c r="J35" s="328"/>
      <c r="K35" s="328"/>
      <c r="L35" s="328"/>
      <c r="M35" s="328"/>
      <c r="N35" s="328"/>
      <c r="O35" s="328"/>
      <c r="P35" s="328"/>
      <c r="Q35" s="328"/>
      <c r="R35" s="328"/>
      <c r="S35" s="328"/>
      <c r="T35" s="328"/>
      <c r="U35" s="328"/>
      <c r="V35" s="328"/>
      <c r="W35" s="304"/>
      <c r="X35" s="304"/>
      <c r="Y35" s="304"/>
      <c r="Z35" s="304"/>
      <c r="AA35" s="304"/>
      <c r="AB35" s="304"/>
      <c r="AC35" s="304"/>
      <c r="AD35" s="304"/>
      <c r="AE35" s="304"/>
      <c r="AF35" s="304"/>
      <c r="AG35" s="304"/>
      <c r="AH35" s="304"/>
      <c r="AI35" s="304"/>
      <c r="AJ35" s="307"/>
      <c r="AL35" s="303"/>
      <c r="AM35" s="303"/>
      <c r="AN35" s="303"/>
      <c r="AO35" s="303"/>
      <c r="AP35" s="303"/>
      <c r="AQ35" s="303"/>
      <c r="AR35" s="303"/>
    </row>
    <row r="36" spans="1:44" s="346" customFormat="1" ht="23.25" customHeight="1">
      <c r="A36" s="304"/>
      <c r="B36" s="329"/>
      <c r="C36" s="329"/>
      <c r="D36" s="329"/>
      <c r="E36" s="329"/>
      <c r="F36" s="329"/>
      <c r="G36" s="329"/>
      <c r="H36" s="329"/>
      <c r="I36" s="328"/>
      <c r="J36" s="328"/>
      <c r="K36" s="328"/>
      <c r="L36" s="328"/>
      <c r="M36" s="328"/>
      <c r="N36" s="328"/>
      <c r="O36" s="328"/>
      <c r="P36" s="328"/>
      <c r="Q36" s="328"/>
      <c r="R36" s="328"/>
      <c r="S36" s="328"/>
      <c r="T36" s="328"/>
      <c r="U36" s="328"/>
      <c r="V36" s="328"/>
      <c r="W36" s="304"/>
      <c r="X36" s="304"/>
      <c r="Y36" s="304"/>
      <c r="Z36" s="304"/>
      <c r="AA36" s="304"/>
      <c r="AB36" s="304"/>
      <c r="AC36" s="304"/>
      <c r="AD36" s="304"/>
      <c r="AE36" s="304"/>
      <c r="AF36" s="304"/>
      <c r="AG36" s="304"/>
      <c r="AH36" s="304"/>
      <c r="AI36" s="304"/>
      <c r="AJ36" s="307"/>
      <c r="AL36" s="303"/>
      <c r="AM36" s="303"/>
      <c r="AN36" s="303"/>
      <c r="AO36" s="303"/>
      <c r="AP36" s="303"/>
      <c r="AQ36" s="303"/>
      <c r="AR36" s="303"/>
    </row>
    <row r="37" spans="1:44" s="346" customFormat="1" ht="23.25" customHeight="1">
      <c r="A37" s="304"/>
      <c r="B37" s="329"/>
      <c r="C37" s="329"/>
      <c r="D37" s="329"/>
      <c r="E37" s="329"/>
      <c r="F37" s="329"/>
      <c r="G37" s="329"/>
      <c r="H37" s="329"/>
      <c r="I37" s="328"/>
      <c r="J37" s="328"/>
      <c r="K37" s="328"/>
      <c r="L37" s="328"/>
      <c r="M37" s="328"/>
      <c r="N37" s="328"/>
      <c r="O37" s="328"/>
      <c r="P37" s="328"/>
      <c r="Q37" s="328"/>
      <c r="R37" s="328"/>
      <c r="S37" s="328"/>
      <c r="T37" s="328"/>
      <c r="U37" s="328"/>
      <c r="V37" s="328"/>
      <c r="W37" s="304"/>
      <c r="X37" s="304"/>
      <c r="Y37" s="304"/>
      <c r="Z37" s="304"/>
      <c r="AA37" s="304"/>
      <c r="AB37" s="304"/>
      <c r="AC37" s="304"/>
      <c r="AD37" s="304"/>
      <c r="AE37" s="304"/>
      <c r="AF37" s="304"/>
      <c r="AG37" s="304"/>
      <c r="AH37" s="304"/>
      <c r="AI37" s="304"/>
      <c r="AJ37" s="307"/>
      <c r="AL37" s="303"/>
      <c r="AM37" s="303"/>
      <c r="AN37" s="303"/>
      <c r="AO37" s="303"/>
      <c r="AP37" s="303"/>
      <c r="AQ37" s="303"/>
      <c r="AR37" s="303"/>
    </row>
    <row r="38" spans="1:44" s="346" customFormat="1" ht="23.25" customHeight="1">
      <c r="A38" s="304"/>
      <c r="B38" s="329"/>
      <c r="C38" s="329"/>
      <c r="D38" s="329"/>
      <c r="E38" s="329"/>
      <c r="F38" s="329"/>
      <c r="G38" s="329"/>
      <c r="H38" s="329"/>
      <c r="I38" s="328"/>
      <c r="J38" s="328"/>
      <c r="K38" s="328"/>
      <c r="L38" s="328"/>
      <c r="M38" s="328"/>
      <c r="N38" s="328"/>
      <c r="O38" s="328"/>
      <c r="P38" s="328"/>
      <c r="Q38" s="328"/>
      <c r="R38" s="328"/>
      <c r="S38" s="328"/>
      <c r="T38" s="328"/>
      <c r="U38" s="328"/>
      <c r="V38" s="328"/>
      <c r="W38" s="304"/>
      <c r="X38" s="304"/>
      <c r="Y38" s="304"/>
      <c r="Z38" s="304"/>
      <c r="AA38" s="304"/>
      <c r="AB38" s="304"/>
      <c r="AC38" s="304"/>
      <c r="AD38" s="304"/>
      <c r="AE38" s="304"/>
      <c r="AF38" s="304"/>
      <c r="AG38" s="304"/>
      <c r="AH38" s="304"/>
      <c r="AI38" s="304"/>
      <c r="AJ38" s="307"/>
      <c r="AL38" s="303"/>
      <c r="AM38" s="303"/>
      <c r="AN38" s="303"/>
      <c r="AO38" s="303"/>
      <c r="AP38" s="303"/>
      <c r="AQ38" s="303"/>
      <c r="AR38" s="303"/>
    </row>
    <row r="39" spans="1:44" s="346" customFormat="1" ht="23.25" customHeight="1">
      <c r="A39" s="304"/>
      <c r="B39" s="329"/>
      <c r="C39" s="329"/>
      <c r="D39" s="329"/>
      <c r="E39" s="329"/>
      <c r="F39" s="329"/>
      <c r="G39" s="329"/>
      <c r="H39" s="329"/>
      <c r="I39" s="328"/>
      <c r="J39" s="328"/>
      <c r="K39" s="328"/>
      <c r="L39" s="328"/>
      <c r="M39" s="328"/>
      <c r="N39" s="328"/>
      <c r="O39" s="328"/>
      <c r="P39" s="328"/>
      <c r="Q39" s="328"/>
      <c r="R39" s="328"/>
      <c r="S39" s="328"/>
      <c r="T39" s="328"/>
      <c r="U39" s="328"/>
      <c r="V39" s="328"/>
      <c r="W39" s="304"/>
      <c r="X39" s="304"/>
      <c r="Y39" s="304"/>
      <c r="Z39" s="304"/>
      <c r="AA39" s="304"/>
      <c r="AB39" s="304"/>
      <c r="AC39" s="304"/>
      <c r="AD39" s="304"/>
      <c r="AE39" s="304"/>
      <c r="AF39" s="304"/>
      <c r="AG39" s="304"/>
      <c r="AH39" s="304"/>
      <c r="AI39" s="304"/>
      <c r="AJ39" s="307"/>
      <c r="AL39" s="303"/>
      <c r="AM39" s="303"/>
      <c r="AN39" s="303"/>
      <c r="AO39" s="303"/>
      <c r="AP39" s="303"/>
      <c r="AQ39" s="303"/>
      <c r="AR39" s="303"/>
    </row>
    <row r="40" spans="1:44" s="346" customFormat="1" ht="23.25" customHeight="1">
      <c r="A40" s="304"/>
      <c r="B40" s="329"/>
      <c r="C40" s="329"/>
      <c r="D40" s="329"/>
      <c r="E40" s="329"/>
      <c r="F40" s="329"/>
      <c r="G40" s="329"/>
      <c r="H40" s="329"/>
      <c r="I40" s="328"/>
      <c r="J40" s="328"/>
      <c r="K40" s="328"/>
      <c r="L40" s="328"/>
      <c r="M40" s="328"/>
      <c r="N40" s="328"/>
      <c r="O40" s="328"/>
      <c r="P40" s="328"/>
      <c r="Q40" s="328"/>
      <c r="R40" s="328"/>
      <c r="S40" s="328"/>
      <c r="T40" s="328"/>
      <c r="U40" s="328"/>
      <c r="V40" s="328"/>
      <c r="W40" s="304"/>
      <c r="X40" s="304"/>
      <c r="Y40" s="304"/>
      <c r="Z40" s="304"/>
      <c r="AA40" s="304"/>
      <c r="AB40" s="304"/>
      <c r="AC40" s="304"/>
      <c r="AD40" s="304"/>
      <c r="AE40" s="304"/>
      <c r="AF40" s="304"/>
      <c r="AG40" s="304"/>
      <c r="AH40" s="304"/>
      <c r="AI40" s="304"/>
      <c r="AJ40" s="307"/>
      <c r="AL40" s="303"/>
      <c r="AM40" s="303"/>
      <c r="AN40" s="303"/>
      <c r="AO40" s="303"/>
      <c r="AP40" s="303"/>
      <c r="AQ40" s="303"/>
      <c r="AR40" s="303"/>
    </row>
    <row r="41" spans="1:44" s="346" customFormat="1" ht="23.25" customHeight="1">
      <c r="A41" s="304"/>
      <c r="B41" s="329"/>
      <c r="C41" s="329"/>
      <c r="D41" s="329"/>
      <c r="E41" s="329"/>
      <c r="F41" s="329"/>
      <c r="G41" s="329"/>
      <c r="H41" s="329"/>
      <c r="I41" s="328"/>
      <c r="J41" s="328"/>
      <c r="K41" s="328"/>
      <c r="L41" s="328"/>
      <c r="M41" s="328"/>
      <c r="N41" s="328"/>
      <c r="O41" s="328"/>
      <c r="P41" s="328"/>
      <c r="Q41" s="328"/>
      <c r="R41" s="328"/>
      <c r="S41" s="328"/>
      <c r="T41" s="328"/>
      <c r="U41" s="328"/>
      <c r="V41" s="328"/>
      <c r="W41" s="304"/>
      <c r="X41" s="304"/>
      <c r="Y41" s="304"/>
      <c r="Z41" s="304"/>
      <c r="AA41" s="304"/>
      <c r="AB41" s="304"/>
      <c r="AC41" s="304"/>
      <c r="AD41" s="304"/>
      <c r="AE41" s="304"/>
      <c r="AF41" s="304"/>
      <c r="AG41" s="304"/>
      <c r="AH41" s="304"/>
      <c r="AI41" s="304"/>
      <c r="AJ41" s="307"/>
      <c r="AL41" s="303"/>
      <c r="AM41" s="303"/>
      <c r="AN41" s="303"/>
      <c r="AO41" s="303"/>
      <c r="AP41" s="303"/>
      <c r="AQ41" s="303"/>
      <c r="AR41" s="303"/>
    </row>
    <row r="42" spans="1:44" s="346" customFormat="1" ht="23.25" customHeight="1">
      <c r="A42" s="304"/>
      <c r="B42" s="329"/>
      <c r="C42" s="329"/>
      <c r="D42" s="329"/>
      <c r="E42" s="329"/>
      <c r="F42" s="329"/>
      <c r="G42" s="329"/>
      <c r="H42" s="329"/>
      <c r="I42" s="328"/>
      <c r="J42" s="328"/>
      <c r="K42" s="328"/>
      <c r="L42" s="328"/>
      <c r="M42" s="328"/>
      <c r="N42" s="328"/>
      <c r="O42" s="328"/>
      <c r="P42" s="328"/>
      <c r="Q42" s="328"/>
      <c r="R42" s="328"/>
      <c r="S42" s="328"/>
      <c r="T42" s="328"/>
      <c r="U42" s="328"/>
      <c r="V42" s="328"/>
      <c r="W42" s="304"/>
      <c r="X42" s="304"/>
      <c r="Y42" s="304"/>
      <c r="Z42" s="304"/>
      <c r="AA42" s="304"/>
      <c r="AB42" s="304"/>
      <c r="AC42" s="304"/>
      <c r="AD42" s="304"/>
      <c r="AE42" s="304"/>
      <c r="AF42" s="304"/>
      <c r="AG42" s="304"/>
      <c r="AH42" s="304"/>
      <c r="AI42" s="304"/>
      <c r="AJ42" s="307"/>
      <c r="AL42" s="303"/>
      <c r="AM42" s="303"/>
      <c r="AN42" s="303"/>
      <c r="AO42" s="303"/>
      <c r="AP42" s="303"/>
      <c r="AQ42" s="303"/>
      <c r="AR42" s="303"/>
    </row>
    <row r="43" spans="1:44" s="346" customFormat="1" ht="23.25" customHeight="1">
      <c r="A43" s="304"/>
      <c r="B43" s="329"/>
      <c r="G43" s="347"/>
      <c r="H43" s="329"/>
      <c r="I43" s="328"/>
      <c r="J43" s="328"/>
      <c r="K43" s="328"/>
      <c r="L43" s="328"/>
      <c r="M43" s="328"/>
      <c r="N43" s="328"/>
      <c r="O43" s="328"/>
      <c r="P43" s="328"/>
      <c r="Q43" s="328"/>
      <c r="R43" s="328"/>
      <c r="S43" s="328"/>
      <c r="T43" s="328"/>
      <c r="U43" s="328"/>
      <c r="V43" s="328"/>
      <c r="W43" s="304"/>
      <c r="X43" s="304"/>
      <c r="Y43" s="304"/>
      <c r="Z43" s="304"/>
      <c r="AA43" s="304"/>
      <c r="AB43" s="304"/>
      <c r="AC43" s="304"/>
      <c r="AD43" s="304"/>
      <c r="AE43" s="304"/>
      <c r="AF43" s="304"/>
      <c r="AG43" s="304"/>
      <c r="AH43" s="304"/>
      <c r="AI43" s="304"/>
      <c r="AJ43" s="307"/>
      <c r="AL43" s="303"/>
      <c r="AM43" s="303"/>
      <c r="AN43" s="303"/>
      <c r="AO43" s="303"/>
      <c r="AP43" s="303"/>
      <c r="AQ43" s="303"/>
      <c r="AR43" s="303"/>
    </row>
    <row r="44" spans="1:44" s="346" customFormat="1" ht="23.25" customHeight="1">
      <c r="A44" s="304"/>
      <c r="B44" s="329"/>
      <c r="G44" s="347"/>
      <c r="H44" s="329"/>
      <c r="I44" s="328"/>
      <c r="J44" s="328"/>
      <c r="K44" s="328"/>
      <c r="L44" s="328"/>
      <c r="M44" s="328"/>
      <c r="N44" s="328"/>
      <c r="O44" s="328"/>
      <c r="P44" s="328"/>
      <c r="Q44" s="328"/>
      <c r="R44" s="328"/>
      <c r="S44" s="328"/>
      <c r="T44" s="328"/>
      <c r="U44" s="328"/>
      <c r="V44" s="328"/>
      <c r="W44" s="304"/>
      <c r="X44" s="304"/>
      <c r="Y44" s="304"/>
      <c r="Z44" s="304"/>
      <c r="AA44" s="304"/>
      <c r="AB44" s="304"/>
      <c r="AC44" s="304"/>
      <c r="AD44" s="304"/>
      <c r="AE44" s="304"/>
      <c r="AF44" s="304"/>
      <c r="AG44" s="304"/>
      <c r="AH44" s="304"/>
      <c r="AI44" s="304"/>
      <c r="AJ44" s="307"/>
      <c r="AL44" s="303"/>
      <c r="AM44" s="303"/>
      <c r="AN44" s="303"/>
      <c r="AO44" s="303"/>
      <c r="AP44" s="303"/>
      <c r="AQ44" s="303"/>
      <c r="AR44" s="303"/>
    </row>
    <row r="45" spans="1:44" s="346" customFormat="1" ht="23.25" customHeight="1">
      <c r="A45" s="304"/>
      <c r="B45" s="329"/>
      <c r="G45" s="347"/>
      <c r="H45" s="329"/>
      <c r="I45" s="328"/>
      <c r="J45" s="328"/>
      <c r="K45" s="328"/>
      <c r="L45" s="328"/>
      <c r="M45" s="328"/>
      <c r="N45" s="328"/>
      <c r="O45" s="328"/>
      <c r="P45" s="328"/>
      <c r="Q45" s="328"/>
      <c r="R45" s="328"/>
      <c r="S45" s="328"/>
      <c r="T45" s="328"/>
      <c r="U45" s="328"/>
      <c r="V45" s="328"/>
      <c r="W45" s="304"/>
      <c r="X45" s="304"/>
      <c r="Y45" s="304"/>
      <c r="Z45" s="304"/>
      <c r="AA45" s="304"/>
      <c r="AB45" s="304"/>
      <c r="AC45" s="304"/>
      <c r="AD45" s="304"/>
      <c r="AE45" s="304"/>
      <c r="AF45" s="304"/>
      <c r="AG45" s="304"/>
      <c r="AH45" s="304"/>
      <c r="AI45" s="304"/>
      <c r="AJ45" s="307"/>
      <c r="AL45" s="303"/>
      <c r="AM45" s="303"/>
      <c r="AN45" s="303"/>
      <c r="AO45" s="303"/>
      <c r="AP45" s="303"/>
      <c r="AQ45" s="303"/>
      <c r="AR45" s="303"/>
    </row>
    <row r="46" spans="1:44" s="346" customFormat="1" ht="23.25" customHeight="1">
      <c r="A46" s="304"/>
      <c r="B46" s="329"/>
      <c r="G46" s="347"/>
      <c r="H46" s="329"/>
      <c r="I46" s="328"/>
      <c r="J46" s="328"/>
      <c r="K46" s="328"/>
      <c r="L46" s="328"/>
      <c r="M46" s="328"/>
      <c r="N46" s="328"/>
      <c r="O46" s="328"/>
      <c r="P46" s="328"/>
      <c r="Q46" s="328"/>
      <c r="R46" s="328"/>
      <c r="S46" s="328"/>
      <c r="T46" s="328"/>
      <c r="U46" s="328"/>
      <c r="V46" s="328"/>
      <c r="W46" s="304"/>
      <c r="X46" s="304"/>
      <c r="Y46" s="304"/>
      <c r="Z46" s="304"/>
      <c r="AA46" s="304"/>
      <c r="AB46" s="304"/>
      <c r="AC46" s="304"/>
      <c r="AD46" s="304"/>
      <c r="AE46" s="304"/>
      <c r="AF46" s="304"/>
      <c r="AG46" s="304"/>
      <c r="AH46" s="304"/>
      <c r="AI46" s="304"/>
      <c r="AJ46" s="307"/>
      <c r="AL46" s="303"/>
      <c r="AM46" s="303"/>
      <c r="AN46" s="303"/>
      <c r="AO46" s="303"/>
      <c r="AP46" s="303"/>
      <c r="AQ46" s="303"/>
      <c r="AR46" s="303"/>
    </row>
    <row r="47" spans="1:44" s="346" customFormat="1" ht="23.25" customHeight="1">
      <c r="A47" s="304"/>
      <c r="B47" s="329"/>
      <c r="G47" s="347"/>
      <c r="H47" s="329"/>
      <c r="I47" s="328"/>
      <c r="J47" s="328"/>
      <c r="K47" s="328"/>
      <c r="L47" s="328"/>
      <c r="M47" s="328"/>
      <c r="N47" s="328"/>
      <c r="O47" s="328"/>
      <c r="P47" s="328"/>
      <c r="Q47" s="328"/>
      <c r="R47" s="328"/>
      <c r="S47" s="328"/>
      <c r="T47" s="328"/>
      <c r="U47" s="328"/>
      <c r="V47" s="328"/>
      <c r="W47" s="304"/>
      <c r="X47" s="304"/>
      <c r="Y47" s="304"/>
      <c r="Z47" s="304"/>
      <c r="AA47" s="304"/>
      <c r="AB47" s="304"/>
      <c r="AC47" s="304"/>
      <c r="AD47" s="304"/>
      <c r="AE47" s="304"/>
      <c r="AF47" s="304"/>
      <c r="AG47" s="304"/>
      <c r="AH47" s="304"/>
      <c r="AI47" s="304"/>
      <c r="AJ47" s="307"/>
      <c r="AL47" s="303"/>
      <c r="AM47" s="303"/>
      <c r="AN47" s="303"/>
      <c r="AO47" s="303"/>
      <c r="AP47" s="303"/>
      <c r="AQ47" s="303"/>
      <c r="AR47" s="303"/>
    </row>
    <row r="48" spans="1:44" s="346" customFormat="1" ht="23.25" customHeight="1">
      <c r="A48" s="304"/>
      <c r="B48" s="329"/>
      <c r="G48" s="347"/>
      <c r="H48" s="329"/>
      <c r="I48" s="328"/>
      <c r="J48" s="328"/>
      <c r="K48" s="328"/>
      <c r="L48" s="328"/>
      <c r="M48" s="328"/>
      <c r="N48" s="328"/>
      <c r="O48" s="328"/>
      <c r="P48" s="328"/>
      <c r="Q48" s="328"/>
      <c r="R48" s="328"/>
      <c r="S48" s="328"/>
      <c r="T48" s="328"/>
      <c r="U48" s="328"/>
      <c r="V48" s="328"/>
      <c r="W48" s="304"/>
      <c r="X48" s="304"/>
      <c r="Y48" s="304"/>
      <c r="Z48" s="304"/>
      <c r="AA48" s="304"/>
      <c r="AB48" s="304"/>
      <c r="AC48" s="304"/>
      <c r="AD48" s="304"/>
      <c r="AE48" s="304"/>
      <c r="AF48" s="304"/>
      <c r="AG48" s="304"/>
      <c r="AH48" s="304"/>
      <c r="AI48" s="304"/>
      <c r="AJ48" s="307"/>
      <c r="AL48" s="303"/>
      <c r="AM48" s="303"/>
      <c r="AN48" s="303"/>
      <c r="AO48" s="303"/>
      <c r="AP48" s="303"/>
      <c r="AQ48" s="303"/>
      <c r="AR48" s="303"/>
    </row>
    <row r="49" spans="1:44" s="346" customFormat="1" ht="23.25" customHeight="1">
      <c r="A49" s="304"/>
      <c r="B49" s="329"/>
      <c r="G49" s="347"/>
      <c r="H49" s="329"/>
      <c r="I49" s="328"/>
      <c r="J49" s="328"/>
      <c r="K49" s="328"/>
      <c r="L49" s="328"/>
      <c r="M49" s="328"/>
      <c r="N49" s="328"/>
      <c r="O49" s="328"/>
      <c r="P49" s="328"/>
      <c r="Q49" s="328"/>
      <c r="R49" s="328"/>
      <c r="S49" s="328"/>
      <c r="T49" s="328"/>
      <c r="U49" s="328"/>
      <c r="V49" s="328"/>
      <c r="W49" s="304"/>
      <c r="X49" s="304"/>
      <c r="Y49" s="304"/>
      <c r="Z49" s="304"/>
      <c r="AA49" s="304"/>
      <c r="AB49" s="304"/>
      <c r="AC49" s="304"/>
      <c r="AD49" s="304"/>
      <c r="AE49" s="304"/>
      <c r="AF49" s="304"/>
      <c r="AG49" s="304"/>
      <c r="AH49" s="304"/>
      <c r="AI49" s="304"/>
      <c r="AJ49" s="307"/>
      <c r="AL49" s="303"/>
      <c r="AM49" s="303"/>
      <c r="AN49" s="303"/>
      <c r="AO49" s="303"/>
      <c r="AP49" s="303"/>
      <c r="AQ49" s="303"/>
      <c r="AR49" s="303"/>
    </row>
    <row r="50" spans="1:44" s="346" customFormat="1" ht="23.25" customHeight="1">
      <c r="A50" s="304"/>
      <c r="B50" s="329"/>
      <c r="G50" s="347"/>
      <c r="H50" s="329"/>
      <c r="I50" s="328"/>
      <c r="J50" s="328"/>
      <c r="K50" s="328"/>
      <c r="L50" s="328"/>
      <c r="M50" s="328"/>
      <c r="N50" s="328"/>
      <c r="O50" s="328"/>
      <c r="P50" s="328"/>
      <c r="Q50" s="328"/>
      <c r="R50" s="328"/>
      <c r="S50" s="328"/>
      <c r="T50" s="328"/>
      <c r="U50" s="328"/>
      <c r="V50" s="328"/>
      <c r="W50" s="304"/>
      <c r="X50" s="304"/>
      <c r="Y50" s="304"/>
      <c r="Z50" s="304"/>
      <c r="AA50" s="304"/>
      <c r="AB50" s="304"/>
      <c r="AC50" s="304"/>
      <c r="AD50" s="304"/>
      <c r="AE50" s="304"/>
      <c r="AF50" s="304"/>
      <c r="AG50" s="304"/>
      <c r="AH50" s="304"/>
      <c r="AI50" s="304"/>
      <c r="AJ50" s="307"/>
      <c r="AL50" s="303"/>
      <c r="AM50" s="303"/>
      <c r="AN50" s="303"/>
      <c r="AO50" s="303"/>
      <c r="AP50" s="303"/>
      <c r="AQ50" s="303"/>
      <c r="AR50" s="303"/>
    </row>
    <row r="51" spans="1:44" s="346" customFormat="1" ht="23.25" customHeight="1">
      <c r="A51" s="304"/>
      <c r="B51" s="329"/>
      <c r="G51" s="347"/>
      <c r="H51" s="329"/>
      <c r="I51" s="328"/>
      <c r="J51" s="328"/>
      <c r="K51" s="328"/>
      <c r="L51" s="328"/>
      <c r="M51" s="328"/>
      <c r="N51" s="328"/>
      <c r="O51" s="328"/>
      <c r="P51" s="328"/>
      <c r="Q51" s="328"/>
      <c r="R51" s="328"/>
      <c r="S51" s="328"/>
      <c r="T51" s="328"/>
      <c r="U51" s="328"/>
      <c r="V51" s="328"/>
      <c r="W51" s="304"/>
      <c r="X51" s="304"/>
      <c r="Y51" s="304"/>
      <c r="Z51" s="304"/>
      <c r="AA51" s="304"/>
      <c r="AB51" s="304"/>
      <c r="AC51" s="304"/>
      <c r="AD51" s="304"/>
      <c r="AE51" s="304"/>
      <c r="AF51" s="304"/>
      <c r="AG51" s="304"/>
      <c r="AH51" s="304"/>
      <c r="AI51" s="304"/>
      <c r="AJ51" s="307"/>
      <c r="AL51" s="303"/>
      <c r="AM51" s="303"/>
      <c r="AN51" s="303"/>
      <c r="AO51" s="303"/>
      <c r="AP51" s="303"/>
      <c r="AQ51" s="303"/>
      <c r="AR51" s="303"/>
    </row>
    <row r="52" spans="1:44" s="346" customFormat="1" ht="23.25" customHeight="1">
      <c r="A52" s="304"/>
      <c r="B52" s="329"/>
      <c r="G52" s="347"/>
      <c r="H52" s="329"/>
      <c r="I52" s="328"/>
      <c r="J52" s="328"/>
      <c r="K52" s="328"/>
      <c r="L52" s="328"/>
      <c r="M52" s="328"/>
      <c r="N52" s="328"/>
      <c r="O52" s="328"/>
      <c r="P52" s="328"/>
      <c r="Q52" s="328"/>
      <c r="R52" s="328"/>
      <c r="S52" s="328"/>
      <c r="T52" s="328"/>
      <c r="U52" s="328"/>
      <c r="V52" s="328"/>
      <c r="W52" s="304"/>
      <c r="X52" s="304"/>
      <c r="Y52" s="304"/>
      <c r="Z52" s="304"/>
      <c r="AA52" s="304"/>
      <c r="AB52" s="304"/>
      <c r="AC52" s="304"/>
      <c r="AD52" s="304"/>
      <c r="AE52" s="304"/>
      <c r="AF52" s="304"/>
      <c r="AG52" s="304"/>
      <c r="AH52" s="304"/>
      <c r="AI52" s="304"/>
      <c r="AJ52" s="307"/>
      <c r="AL52" s="303"/>
      <c r="AM52" s="303"/>
      <c r="AN52" s="303"/>
      <c r="AO52" s="303"/>
      <c r="AP52" s="303"/>
      <c r="AQ52" s="303"/>
      <c r="AR52" s="303"/>
    </row>
    <row r="53" spans="1:44" s="346" customFormat="1" ht="23.25" customHeight="1">
      <c r="A53" s="304"/>
      <c r="B53" s="329"/>
      <c r="G53" s="347"/>
      <c r="H53" s="329"/>
      <c r="I53" s="328"/>
      <c r="J53" s="328"/>
      <c r="K53" s="328"/>
      <c r="L53" s="328"/>
      <c r="M53" s="328"/>
      <c r="N53" s="328"/>
      <c r="O53" s="328"/>
      <c r="P53" s="328"/>
      <c r="Q53" s="328"/>
      <c r="R53" s="328"/>
      <c r="S53" s="328"/>
      <c r="T53" s="328"/>
      <c r="U53" s="328"/>
      <c r="V53" s="328"/>
      <c r="W53" s="304"/>
      <c r="X53" s="304"/>
      <c r="Y53" s="304"/>
      <c r="Z53" s="304"/>
      <c r="AA53" s="304"/>
      <c r="AB53" s="304"/>
      <c r="AC53" s="304"/>
      <c r="AD53" s="304"/>
      <c r="AE53" s="304"/>
      <c r="AF53" s="304"/>
      <c r="AG53" s="304"/>
      <c r="AH53" s="304"/>
      <c r="AI53" s="304"/>
      <c r="AJ53" s="307"/>
      <c r="AL53" s="303"/>
      <c r="AM53" s="303"/>
      <c r="AN53" s="303"/>
      <c r="AO53" s="303"/>
      <c r="AP53" s="303"/>
      <c r="AQ53" s="303"/>
      <c r="AR53" s="303"/>
    </row>
    <row r="54" spans="1:44" s="346" customFormat="1" ht="23.25" customHeight="1">
      <c r="A54" s="304"/>
      <c r="B54" s="329"/>
      <c r="G54" s="347"/>
      <c r="H54" s="329"/>
      <c r="I54" s="328"/>
      <c r="J54" s="328"/>
      <c r="K54" s="328"/>
      <c r="L54" s="328"/>
      <c r="M54" s="328"/>
      <c r="N54" s="328"/>
      <c r="O54" s="328"/>
      <c r="P54" s="328"/>
      <c r="Q54" s="328"/>
      <c r="R54" s="328"/>
      <c r="S54" s="328"/>
      <c r="T54" s="328"/>
      <c r="U54" s="328"/>
      <c r="V54" s="328"/>
      <c r="W54" s="304"/>
      <c r="X54" s="304"/>
      <c r="Y54" s="304"/>
      <c r="Z54" s="304"/>
      <c r="AA54" s="304"/>
      <c r="AB54" s="304"/>
      <c r="AC54" s="304"/>
      <c r="AD54" s="304"/>
      <c r="AE54" s="304"/>
      <c r="AF54" s="304"/>
      <c r="AG54" s="304"/>
      <c r="AH54" s="304"/>
      <c r="AI54" s="304"/>
      <c r="AJ54" s="307"/>
      <c r="AL54" s="303"/>
      <c r="AM54" s="303"/>
      <c r="AN54" s="303"/>
      <c r="AO54" s="303"/>
      <c r="AP54" s="303"/>
      <c r="AQ54" s="303"/>
      <c r="AR54" s="303"/>
    </row>
    <row r="55" spans="1:44" s="346" customFormat="1" ht="23.25" customHeight="1">
      <c r="A55" s="304"/>
      <c r="B55" s="329"/>
      <c r="G55" s="347"/>
      <c r="H55" s="329"/>
      <c r="I55" s="328"/>
      <c r="J55" s="328"/>
      <c r="K55" s="328"/>
      <c r="L55" s="328"/>
      <c r="M55" s="328"/>
      <c r="N55" s="328"/>
      <c r="O55" s="328"/>
      <c r="P55" s="328"/>
      <c r="Q55" s="328"/>
      <c r="R55" s="328"/>
      <c r="S55" s="328"/>
      <c r="T55" s="328"/>
      <c r="U55" s="328"/>
      <c r="V55" s="328"/>
      <c r="W55" s="304"/>
      <c r="X55" s="304"/>
      <c r="Y55" s="304"/>
      <c r="Z55" s="304"/>
      <c r="AA55" s="304"/>
      <c r="AB55" s="304"/>
      <c r="AC55" s="304"/>
      <c r="AD55" s="304"/>
      <c r="AE55" s="304"/>
      <c r="AF55" s="304"/>
      <c r="AG55" s="304"/>
      <c r="AH55" s="304"/>
      <c r="AI55" s="304"/>
      <c r="AJ55" s="307"/>
      <c r="AL55" s="303"/>
      <c r="AM55" s="303"/>
      <c r="AN55" s="303"/>
      <c r="AO55" s="303"/>
      <c r="AP55" s="303"/>
      <c r="AQ55" s="303"/>
      <c r="AR55" s="303"/>
    </row>
    <row r="56" spans="1:44" s="346" customFormat="1" ht="23.25" customHeight="1">
      <c r="A56" s="304"/>
      <c r="B56" s="329"/>
      <c r="C56" s="329"/>
      <c r="D56" s="329"/>
      <c r="E56" s="329"/>
      <c r="F56" s="329"/>
      <c r="G56" s="329"/>
      <c r="H56" s="329"/>
      <c r="I56" s="328"/>
      <c r="J56" s="328"/>
      <c r="K56" s="328"/>
      <c r="L56" s="328"/>
      <c r="M56" s="328"/>
      <c r="N56" s="328"/>
      <c r="O56" s="328"/>
      <c r="P56" s="328"/>
      <c r="Q56" s="328"/>
      <c r="R56" s="328"/>
      <c r="S56" s="328"/>
      <c r="T56" s="328"/>
      <c r="U56" s="328"/>
      <c r="V56" s="328"/>
      <c r="W56" s="304"/>
      <c r="X56" s="304"/>
      <c r="Y56" s="304"/>
      <c r="Z56" s="304"/>
      <c r="AA56" s="304"/>
      <c r="AB56" s="304"/>
      <c r="AC56" s="304"/>
      <c r="AD56" s="304"/>
      <c r="AE56" s="304"/>
      <c r="AF56" s="304"/>
      <c r="AG56" s="304"/>
      <c r="AH56" s="304"/>
      <c r="AI56" s="304"/>
      <c r="AJ56" s="307"/>
      <c r="AL56" s="303"/>
      <c r="AM56" s="303"/>
      <c r="AN56" s="303"/>
      <c r="AO56" s="303"/>
      <c r="AP56" s="303"/>
      <c r="AQ56" s="303"/>
      <c r="AR56" s="303"/>
    </row>
    <row r="57" spans="1:44" s="346" customFormat="1" ht="23.25" customHeight="1">
      <c r="A57" s="304"/>
      <c r="B57" s="329"/>
      <c r="C57" s="329"/>
      <c r="D57" s="329"/>
      <c r="E57" s="329"/>
      <c r="F57" s="329"/>
      <c r="G57" s="329"/>
      <c r="H57" s="329"/>
      <c r="I57" s="328"/>
      <c r="J57" s="328"/>
      <c r="K57" s="328"/>
      <c r="L57" s="328"/>
      <c r="M57" s="328"/>
      <c r="N57" s="328"/>
      <c r="O57" s="328"/>
      <c r="P57" s="328"/>
      <c r="Q57" s="328"/>
      <c r="R57" s="328"/>
      <c r="S57" s="328"/>
      <c r="T57" s="328"/>
      <c r="U57" s="328"/>
      <c r="V57" s="328"/>
      <c r="W57" s="304"/>
      <c r="X57" s="304"/>
      <c r="Y57" s="304"/>
      <c r="Z57" s="304"/>
      <c r="AA57" s="304"/>
      <c r="AB57" s="304"/>
      <c r="AC57" s="304"/>
      <c r="AD57" s="304"/>
      <c r="AE57" s="304"/>
      <c r="AF57" s="304"/>
      <c r="AG57" s="304"/>
      <c r="AH57" s="304"/>
      <c r="AI57" s="304"/>
      <c r="AJ57" s="307"/>
      <c r="AL57" s="303"/>
      <c r="AM57" s="303"/>
      <c r="AN57" s="303"/>
      <c r="AO57" s="303"/>
      <c r="AP57" s="303"/>
      <c r="AQ57" s="303"/>
      <c r="AR57" s="303"/>
    </row>
    <row r="58" spans="1:44" s="346" customFormat="1" ht="23.25" customHeight="1">
      <c r="A58" s="304"/>
      <c r="B58" s="329"/>
      <c r="G58" s="347"/>
      <c r="H58" s="329"/>
      <c r="I58" s="328"/>
      <c r="J58" s="328"/>
      <c r="K58" s="328"/>
      <c r="L58" s="328"/>
      <c r="M58" s="328"/>
      <c r="N58" s="328"/>
      <c r="O58" s="328"/>
      <c r="P58" s="328"/>
      <c r="Q58" s="328"/>
      <c r="R58" s="328"/>
      <c r="S58" s="328"/>
      <c r="T58" s="328"/>
      <c r="U58" s="328"/>
      <c r="V58" s="328"/>
      <c r="W58" s="304"/>
      <c r="X58" s="304"/>
      <c r="Y58" s="304"/>
      <c r="Z58" s="304"/>
      <c r="AA58" s="304"/>
      <c r="AB58" s="304"/>
      <c r="AC58" s="304"/>
      <c r="AD58" s="304"/>
      <c r="AE58" s="304"/>
      <c r="AF58" s="304"/>
      <c r="AG58" s="304"/>
      <c r="AH58" s="304"/>
      <c r="AI58" s="304"/>
      <c r="AJ58" s="307"/>
      <c r="AL58" s="303"/>
      <c r="AM58" s="303"/>
      <c r="AN58" s="303"/>
      <c r="AO58" s="303"/>
      <c r="AP58" s="303"/>
      <c r="AQ58" s="303"/>
      <c r="AR58" s="303"/>
    </row>
    <row r="59" spans="1:44" s="346" customFormat="1" ht="23.25" customHeight="1">
      <c r="A59" s="304"/>
      <c r="B59" s="329"/>
      <c r="G59" s="347"/>
      <c r="H59" s="329"/>
      <c r="I59" s="328"/>
      <c r="J59" s="328"/>
      <c r="K59" s="328"/>
      <c r="L59" s="328"/>
      <c r="M59" s="328"/>
      <c r="N59" s="328"/>
      <c r="O59" s="328"/>
      <c r="P59" s="328"/>
      <c r="Q59" s="328"/>
      <c r="R59" s="328"/>
      <c r="S59" s="328"/>
      <c r="T59" s="328"/>
      <c r="U59" s="328"/>
      <c r="V59" s="328"/>
      <c r="W59" s="304"/>
      <c r="X59" s="304"/>
      <c r="Y59" s="304"/>
      <c r="Z59" s="304"/>
      <c r="AA59" s="304"/>
      <c r="AB59" s="304"/>
      <c r="AC59" s="304"/>
      <c r="AD59" s="304"/>
      <c r="AE59" s="304"/>
      <c r="AF59" s="304"/>
      <c r="AG59" s="304"/>
      <c r="AH59" s="304"/>
      <c r="AI59" s="304"/>
      <c r="AJ59" s="307"/>
      <c r="AL59" s="303"/>
      <c r="AM59" s="303"/>
      <c r="AN59" s="303"/>
      <c r="AO59" s="303"/>
      <c r="AP59" s="303"/>
      <c r="AQ59" s="303"/>
      <c r="AR59" s="303"/>
    </row>
    <row r="60" spans="1:44" s="346" customFormat="1" ht="23.25" customHeight="1">
      <c r="A60" s="304"/>
      <c r="B60" s="329"/>
      <c r="G60" s="347"/>
      <c r="H60" s="329"/>
      <c r="I60" s="328"/>
      <c r="J60" s="328"/>
      <c r="K60" s="328"/>
      <c r="L60" s="328"/>
      <c r="M60" s="328"/>
      <c r="N60" s="328"/>
      <c r="O60" s="328"/>
      <c r="P60" s="328"/>
      <c r="Q60" s="328"/>
      <c r="R60" s="328"/>
      <c r="S60" s="328"/>
      <c r="T60" s="328"/>
      <c r="U60" s="328"/>
      <c r="V60" s="328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7"/>
      <c r="AL60" s="303"/>
      <c r="AM60" s="303"/>
      <c r="AN60" s="303"/>
      <c r="AO60" s="303"/>
      <c r="AP60" s="303"/>
      <c r="AQ60" s="303"/>
      <c r="AR60" s="303"/>
    </row>
    <row r="61" spans="1:44" s="346" customFormat="1" ht="23.25" customHeight="1">
      <c r="A61" s="304"/>
      <c r="B61" s="329"/>
      <c r="G61" s="347"/>
      <c r="H61" s="329"/>
      <c r="I61" s="328"/>
      <c r="J61" s="328"/>
      <c r="K61" s="328"/>
      <c r="L61" s="328"/>
      <c r="M61" s="328"/>
      <c r="N61" s="328"/>
      <c r="O61" s="328"/>
      <c r="P61" s="328"/>
      <c r="Q61" s="328"/>
      <c r="R61" s="328"/>
      <c r="S61" s="328"/>
      <c r="T61" s="328"/>
      <c r="U61" s="328"/>
      <c r="V61" s="328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7"/>
      <c r="AL61" s="303"/>
      <c r="AM61" s="303"/>
      <c r="AN61" s="303"/>
      <c r="AO61" s="303"/>
      <c r="AP61" s="303"/>
      <c r="AQ61" s="303"/>
      <c r="AR61" s="303"/>
    </row>
    <row r="62" spans="1:44" s="346" customFormat="1" ht="23.25" customHeight="1">
      <c r="A62" s="304"/>
      <c r="B62" s="329"/>
      <c r="G62" s="347"/>
      <c r="H62" s="329"/>
      <c r="I62" s="328"/>
      <c r="J62" s="328"/>
      <c r="K62" s="328"/>
      <c r="L62" s="328"/>
      <c r="M62" s="328"/>
      <c r="N62" s="328"/>
      <c r="O62" s="328"/>
      <c r="P62" s="328"/>
      <c r="Q62" s="328"/>
      <c r="R62" s="328"/>
      <c r="S62" s="328"/>
      <c r="T62" s="328"/>
      <c r="U62" s="328"/>
      <c r="V62" s="328"/>
      <c r="W62" s="304"/>
      <c r="X62" s="304"/>
      <c r="Y62" s="304"/>
      <c r="Z62" s="304"/>
      <c r="AA62" s="304"/>
      <c r="AB62" s="304"/>
      <c r="AC62" s="304"/>
      <c r="AD62" s="304"/>
      <c r="AE62" s="304"/>
      <c r="AF62" s="304"/>
      <c r="AG62" s="304"/>
      <c r="AH62" s="304"/>
      <c r="AI62" s="304"/>
      <c r="AJ62" s="307"/>
      <c r="AL62" s="303"/>
      <c r="AM62" s="303"/>
      <c r="AN62" s="303"/>
      <c r="AO62" s="303"/>
      <c r="AP62" s="303"/>
      <c r="AQ62" s="303"/>
      <c r="AR62" s="303"/>
    </row>
    <row r="63" spans="1:44" s="346" customFormat="1" ht="23.25" customHeight="1">
      <c r="A63" s="304"/>
      <c r="B63" s="329"/>
      <c r="G63" s="347"/>
      <c r="H63" s="329"/>
      <c r="I63" s="328"/>
      <c r="J63" s="328"/>
      <c r="K63" s="328"/>
      <c r="L63" s="328"/>
      <c r="M63" s="328"/>
      <c r="N63" s="328"/>
      <c r="O63" s="328"/>
      <c r="P63" s="328"/>
      <c r="Q63" s="328"/>
      <c r="R63" s="328"/>
      <c r="S63" s="328"/>
      <c r="T63" s="328"/>
      <c r="U63" s="328"/>
      <c r="V63" s="328"/>
      <c r="W63" s="304"/>
      <c r="X63" s="304"/>
      <c r="Y63" s="304"/>
      <c r="Z63" s="304"/>
      <c r="AA63" s="304"/>
      <c r="AB63" s="304"/>
      <c r="AC63" s="304"/>
      <c r="AD63" s="304"/>
      <c r="AE63" s="304"/>
      <c r="AF63" s="304"/>
      <c r="AG63" s="304"/>
      <c r="AH63" s="304"/>
      <c r="AI63" s="304"/>
      <c r="AJ63" s="307"/>
      <c r="AL63" s="303"/>
      <c r="AM63" s="303"/>
      <c r="AN63" s="303"/>
      <c r="AO63" s="303"/>
      <c r="AP63" s="303"/>
      <c r="AQ63" s="303"/>
      <c r="AR63" s="303"/>
    </row>
    <row r="64" spans="1:44" s="346" customFormat="1" ht="23.25" customHeight="1">
      <c r="A64" s="304"/>
      <c r="B64" s="329"/>
      <c r="G64" s="347"/>
      <c r="H64" s="329"/>
      <c r="I64" s="328"/>
      <c r="J64" s="328"/>
      <c r="K64" s="328"/>
      <c r="L64" s="328"/>
      <c r="M64" s="328"/>
      <c r="N64" s="328"/>
      <c r="O64" s="328"/>
      <c r="P64" s="328"/>
      <c r="Q64" s="328"/>
      <c r="R64" s="328"/>
      <c r="S64" s="328"/>
      <c r="T64" s="328"/>
      <c r="U64" s="328"/>
      <c r="V64" s="328"/>
      <c r="W64" s="304"/>
      <c r="X64" s="304"/>
      <c r="Y64" s="304"/>
      <c r="Z64" s="304"/>
      <c r="AA64" s="304"/>
      <c r="AB64" s="304"/>
      <c r="AC64" s="304"/>
      <c r="AD64" s="304"/>
      <c r="AE64" s="304"/>
      <c r="AF64" s="304"/>
      <c r="AG64" s="304"/>
      <c r="AH64" s="304"/>
      <c r="AI64" s="304"/>
      <c r="AJ64" s="307"/>
      <c r="AL64" s="303"/>
      <c r="AM64" s="303"/>
      <c r="AN64" s="303"/>
      <c r="AO64" s="303"/>
      <c r="AP64" s="303"/>
      <c r="AQ64" s="303"/>
      <c r="AR64" s="303"/>
    </row>
    <row r="65" spans="1:44" s="346" customFormat="1" ht="23.25" customHeight="1">
      <c r="A65" s="304"/>
      <c r="B65" s="329"/>
      <c r="G65" s="347"/>
      <c r="H65" s="329"/>
      <c r="I65" s="328"/>
      <c r="J65" s="328"/>
      <c r="K65" s="328"/>
      <c r="L65" s="328"/>
      <c r="M65" s="328"/>
      <c r="N65" s="328"/>
      <c r="O65" s="328"/>
      <c r="P65" s="328"/>
      <c r="Q65" s="328"/>
      <c r="R65" s="328"/>
      <c r="S65" s="328"/>
      <c r="T65" s="328"/>
      <c r="U65" s="328"/>
      <c r="V65" s="328"/>
      <c r="W65" s="304"/>
      <c r="X65" s="304"/>
      <c r="Y65" s="304"/>
      <c r="Z65" s="304"/>
      <c r="AA65" s="304"/>
      <c r="AB65" s="304"/>
      <c r="AC65" s="304"/>
      <c r="AD65" s="304"/>
      <c r="AE65" s="304"/>
      <c r="AF65" s="304"/>
      <c r="AG65" s="304"/>
      <c r="AH65" s="304"/>
      <c r="AI65" s="304"/>
      <c r="AJ65" s="307"/>
      <c r="AL65" s="303"/>
      <c r="AM65" s="303"/>
      <c r="AN65" s="303"/>
      <c r="AO65" s="303"/>
      <c r="AP65" s="303"/>
      <c r="AQ65" s="303"/>
      <c r="AR65" s="303"/>
    </row>
    <row r="66" spans="1:44" s="346" customFormat="1" ht="23.25" customHeight="1">
      <c r="A66" s="304"/>
      <c r="B66" s="329"/>
      <c r="G66" s="347"/>
      <c r="H66" s="329"/>
      <c r="I66" s="328"/>
      <c r="J66" s="328"/>
      <c r="K66" s="328"/>
      <c r="L66" s="328"/>
      <c r="M66" s="328"/>
      <c r="N66" s="328"/>
      <c r="O66" s="328"/>
      <c r="P66" s="328"/>
      <c r="Q66" s="328"/>
      <c r="R66" s="328"/>
      <c r="S66" s="328"/>
      <c r="T66" s="328"/>
      <c r="U66" s="328"/>
      <c r="V66" s="328"/>
      <c r="W66" s="304"/>
      <c r="X66" s="304"/>
      <c r="Y66" s="304"/>
      <c r="Z66" s="304"/>
      <c r="AA66" s="304"/>
      <c r="AB66" s="304"/>
      <c r="AC66" s="304"/>
      <c r="AD66" s="304"/>
      <c r="AE66" s="304"/>
      <c r="AF66" s="304"/>
      <c r="AG66" s="304"/>
      <c r="AH66" s="304"/>
      <c r="AI66" s="304"/>
      <c r="AJ66" s="307"/>
      <c r="AL66" s="303"/>
      <c r="AM66" s="303"/>
      <c r="AN66" s="303"/>
      <c r="AO66" s="303"/>
      <c r="AP66" s="303"/>
      <c r="AQ66" s="303"/>
      <c r="AR66" s="303"/>
    </row>
    <row r="67" spans="1:44" s="346" customFormat="1" ht="23.25" customHeight="1">
      <c r="A67" s="304"/>
      <c r="B67" s="329"/>
      <c r="G67" s="347"/>
      <c r="H67" s="329"/>
      <c r="I67" s="328"/>
      <c r="J67" s="328"/>
      <c r="K67" s="328"/>
      <c r="L67" s="328"/>
      <c r="M67" s="328"/>
      <c r="N67" s="328"/>
      <c r="O67" s="328"/>
      <c r="P67" s="328"/>
      <c r="Q67" s="328"/>
      <c r="R67" s="328"/>
      <c r="S67" s="328"/>
      <c r="T67" s="328"/>
      <c r="U67" s="328"/>
      <c r="V67" s="328"/>
      <c r="W67" s="304"/>
      <c r="X67" s="304"/>
      <c r="Y67" s="304"/>
      <c r="Z67" s="304"/>
      <c r="AA67" s="304"/>
      <c r="AB67" s="304"/>
      <c r="AC67" s="304"/>
      <c r="AD67" s="304"/>
      <c r="AE67" s="304"/>
      <c r="AF67" s="304"/>
      <c r="AG67" s="304"/>
      <c r="AH67" s="304"/>
      <c r="AI67" s="304"/>
      <c r="AJ67" s="307"/>
      <c r="AL67" s="303"/>
      <c r="AM67" s="303"/>
      <c r="AN67" s="303"/>
      <c r="AO67" s="303"/>
      <c r="AP67" s="303"/>
      <c r="AQ67" s="303"/>
      <c r="AR67" s="303"/>
    </row>
    <row r="68" spans="1:44" s="346" customFormat="1" ht="23.25" customHeight="1">
      <c r="A68" s="304"/>
      <c r="B68" s="329"/>
      <c r="G68" s="347"/>
      <c r="H68" s="329"/>
      <c r="I68" s="328"/>
      <c r="J68" s="328"/>
      <c r="K68" s="328"/>
      <c r="L68" s="328"/>
      <c r="M68" s="328"/>
      <c r="N68" s="328"/>
      <c r="O68" s="328"/>
      <c r="P68" s="328"/>
      <c r="Q68" s="328"/>
      <c r="R68" s="328"/>
      <c r="S68" s="328"/>
      <c r="T68" s="328"/>
      <c r="U68" s="328"/>
      <c r="V68" s="328"/>
      <c r="W68" s="304"/>
      <c r="X68" s="304"/>
      <c r="Y68" s="304"/>
      <c r="Z68" s="304"/>
      <c r="AA68" s="304"/>
      <c r="AB68" s="304"/>
      <c r="AC68" s="304"/>
      <c r="AD68" s="304"/>
      <c r="AE68" s="304"/>
      <c r="AF68" s="304"/>
      <c r="AG68" s="304"/>
      <c r="AH68" s="304"/>
      <c r="AI68" s="304"/>
      <c r="AJ68" s="307"/>
      <c r="AL68" s="303"/>
      <c r="AM68" s="303"/>
      <c r="AN68" s="303"/>
      <c r="AO68" s="303"/>
      <c r="AP68" s="303"/>
      <c r="AQ68" s="303"/>
      <c r="AR68" s="303"/>
    </row>
    <row r="69" spans="1:44" s="346" customFormat="1" ht="23.25" customHeight="1">
      <c r="A69" s="304"/>
      <c r="B69" s="329"/>
      <c r="G69" s="347"/>
      <c r="H69" s="329"/>
      <c r="I69" s="328"/>
      <c r="J69" s="328"/>
      <c r="K69" s="328"/>
      <c r="L69" s="328"/>
      <c r="M69" s="328"/>
      <c r="N69" s="328"/>
      <c r="O69" s="328"/>
      <c r="P69" s="328"/>
      <c r="Q69" s="328"/>
      <c r="R69" s="328"/>
      <c r="S69" s="328"/>
      <c r="T69" s="328"/>
      <c r="U69" s="328"/>
      <c r="V69" s="328"/>
      <c r="W69" s="304"/>
      <c r="X69" s="304"/>
      <c r="Y69" s="304"/>
      <c r="Z69" s="304"/>
      <c r="AA69" s="304"/>
      <c r="AB69" s="304"/>
      <c r="AC69" s="304"/>
      <c r="AD69" s="304"/>
      <c r="AE69" s="304"/>
      <c r="AF69" s="304"/>
      <c r="AG69" s="304"/>
      <c r="AH69" s="304"/>
      <c r="AI69" s="304"/>
      <c r="AJ69" s="307"/>
      <c r="AL69" s="303"/>
      <c r="AM69" s="303"/>
      <c r="AN69" s="303"/>
      <c r="AO69" s="303"/>
      <c r="AP69" s="303"/>
      <c r="AQ69" s="303"/>
      <c r="AR69" s="303"/>
    </row>
    <row r="70" spans="1:44" s="346" customFormat="1" ht="23.25" customHeight="1">
      <c r="A70" s="304"/>
      <c r="B70" s="329"/>
      <c r="G70" s="347"/>
      <c r="H70" s="329"/>
      <c r="I70" s="328"/>
      <c r="J70" s="328"/>
      <c r="K70" s="328"/>
      <c r="L70" s="328"/>
      <c r="M70" s="328"/>
      <c r="N70" s="328"/>
      <c r="O70" s="328"/>
      <c r="P70" s="328"/>
      <c r="Q70" s="328"/>
      <c r="R70" s="328"/>
      <c r="S70" s="328"/>
      <c r="T70" s="328"/>
      <c r="U70" s="328"/>
      <c r="V70" s="328"/>
      <c r="W70" s="304"/>
      <c r="X70" s="304"/>
      <c r="Y70" s="304"/>
      <c r="Z70" s="304"/>
      <c r="AA70" s="304"/>
      <c r="AB70" s="304"/>
      <c r="AC70" s="304"/>
      <c r="AD70" s="304"/>
      <c r="AE70" s="304"/>
      <c r="AF70" s="304"/>
      <c r="AG70" s="304"/>
      <c r="AH70" s="304"/>
      <c r="AI70" s="304"/>
      <c r="AJ70" s="307"/>
      <c r="AL70" s="303"/>
      <c r="AM70" s="303"/>
      <c r="AN70" s="303"/>
      <c r="AO70" s="303"/>
      <c r="AP70" s="303"/>
      <c r="AQ70" s="303"/>
      <c r="AR70" s="303"/>
    </row>
    <row r="71" spans="1:44" s="346" customFormat="1" ht="23.25" customHeight="1">
      <c r="A71" s="304"/>
      <c r="B71" s="329"/>
      <c r="C71" s="329"/>
      <c r="D71" s="329"/>
      <c r="E71" s="329"/>
      <c r="F71" s="329"/>
      <c r="G71" s="329"/>
      <c r="H71" s="329"/>
      <c r="I71" s="328"/>
      <c r="J71" s="328"/>
      <c r="K71" s="328"/>
      <c r="L71" s="328"/>
      <c r="M71" s="328"/>
      <c r="N71" s="328"/>
      <c r="O71" s="328"/>
      <c r="P71" s="328"/>
      <c r="Q71" s="328"/>
      <c r="R71" s="328"/>
      <c r="S71" s="328"/>
      <c r="T71" s="328"/>
      <c r="U71" s="328"/>
      <c r="V71" s="328"/>
      <c r="W71" s="304"/>
      <c r="X71" s="304"/>
      <c r="Y71" s="304"/>
      <c r="Z71" s="304"/>
      <c r="AA71" s="304"/>
      <c r="AB71" s="304"/>
      <c r="AC71" s="304"/>
      <c r="AD71" s="304"/>
      <c r="AE71" s="304"/>
      <c r="AF71" s="304"/>
      <c r="AG71" s="304"/>
      <c r="AH71" s="304"/>
      <c r="AI71" s="304"/>
      <c r="AJ71" s="307"/>
      <c r="AL71" s="303"/>
      <c r="AM71" s="303"/>
      <c r="AN71" s="303"/>
      <c r="AO71" s="303"/>
      <c r="AP71" s="303"/>
      <c r="AQ71" s="303"/>
      <c r="AR71" s="303"/>
    </row>
    <row r="72" spans="1:44" s="346" customFormat="1" ht="23.25" customHeight="1">
      <c r="A72" s="304"/>
      <c r="B72" s="329"/>
      <c r="C72" s="329"/>
      <c r="D72" s="329"/>
      <c r="E72" s="329"/>
      <c r="F72" s="329"/>
      <c r="G72" s="329"/>
      <c r="H72" s="329"/>
      <c r="I72" s="328"/>
      <c r="J72" s="328"/>
      <c r="K72" s="328"/>
      <c r="L72" s="328"/>
      <c r="M72" s="328"/>
      <c r="N72" s="328"/>
      <c r="O72" s="328"/>
      <c r="P72" s="328"/>
      <c r="Q72" s="328"/>
      <c r="R72" s="328"/>
      <c r="S72" s="328"/>
      <c r="T72" s="328"/>
      <c r="U72" s="328"/>
      <c r="V72" s="328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7"/>
      <c r="AL72" s="303"/>
      <c r="AM72" s="303"/>
      <c r="AN72" s="303"/>
      <c r="AO72" s="303"/>
      <c r="AP72" s="303"/>
      <c r="AQ72" s="303"/>
      <c r="AR72" s="303"/>
    </row>
    <row r="73" spans="1:44" s="346" customFormat="1" ht="23.25" customHeight="1">
      <c r="A73" s="304"/>
      <c r="B73" s="329"/>
      <c r="C73" s="329"/>
      <c r="D73" s="329"/>
      <c r="E73" s="329"/>
      <c r="F73" s="329"/>
      <c r="G73" s="329"/>
      <c r="H73" s="329"/>
      <c r="I73" s="328"/>
      <c r="J73" s="328"/>
      <c r="K73" s="328"/>
      <c r="L73" s="328"/>
      <c r="M73" s="328"/>
      <c r="N73" s="328"/>
      <c r="O73" s="328"/>
      <c r="P73" s="328"/>
      <c r="Q73" s="328"/>
      <c r="R73" s="328"/>
      <c r="S73" s="328"/>
      <c r="T73" s="328"/>
      <c r="U73" s="328"/>
      <c r="V73" s="328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7"/>
      <c r="AL73" s="303"/>
      <c r="AM73" s="303"/>
      <c r="AN73" s="303"/>
      <c r="AO73" s="303"/>
      <c r="AP73" s="303"/>
      <c r="AQ73" s="303"/>
      <c r="AR73" s="303"/>
    </row>
    <row r="74" spans="1:44" s="346" customFormat="1" ht="23.25" customHeight="1">
      <c r="A74" s="304"/>
      <c r="B74" s="329"/>
      <c r="C74" s="329"/>
      <c r="D74" s="329"/>
      <c r="E74" s="329"/>
      <c r="F74" s="329"/>
      <c r="G74" s="329"/>
      <c r="H74" s="329"/>
      <c r="I74" s="328"/>
      <c r="J74" s="328"/>
      <c r="K74" s="328"/>
      <c r="L74" s="328"/>
      <c r="M74" s="328"/>
      <c r="N74" s="328"/>
      <c r="O74" s="328"/>
      <c r="P74" s="328"/>
      <c r="Q74" s="328"/>
      <c r="R74" s="328"/>
      <c r="S74" s="328"/>
      <c r="T74" s="328"/>
      <c r="U74" s="328"/>
      <c r="V74" s="328"/>
      <c r="W74" s="304"/>
      <c r="X74" s="304"/>
      <c r="Y74" s="304"/>
      <c r="Z74" s="304"/>
      <c r="AA74" s="304"/>
      <c r="AB74" s="304"/>
      <c r="AC74" s="304"/>
      <c r="AD74" s="304"/>
      <c r="AE74" s="304"/>
      <c r="AF74" s="304"/>
      <c r="AG74" s="304"/>
      <c r="AH74" s="304"/>
      <c r="AI74" s="304"/>
      <c r="AJ74" s="307"/>
      <c r="AL74" s="303"/>
      <c r="AM74" s="303"/>
      <c r="AN74" s="303"/>
      <c r="AO74" s="303"/>
      <c r="AP74" s="303"/>
      <c r="AQ74" s="303"/>
      <c r="AR74" s="303"/>
    </row>
    <row r="75" spans="1:44" s="346" customFormat="1" ht="23.25" customHeight="1">
      <c r="A75" s="304"/>
      <c r="B75" s="329"/>
      <c r="C75" s="329"/>
      <c r="D75" s="329"/>
      <c r="E75" s="329"/>
      <c r="F75" s="329"/>
      <c r="G75" s="329"/>
      <c r="H75" s="329"/>
      <c r="I75" s="328"/>
      <c r="J75" s="328"/>
      <c r="K75" s="328"/>
      <c r="L75" s="328"/>
      <c r="M75" s="328"/>
      <c r="N75" s="328"/>
      <c r="O75" s="328"/>
      <c r="P75" s="328"/>
      <c r="Q75" s="328"/>
      <c r="R75" s="328"/>
      <c r="S75" s="328"/>
      <c r="T75" s="328"/>
      <c r="U75" s="328"/>
      <c r="V75" s="328"/>
      <c r="W75" s="304"/>
      <c r="X75" s="304"/>
      <c r="Y75" s="304"/>
      <c r="Z75" s="304"/>
      <c r="AA75" s="304"/>
      <c r="AB75" s="304"/>
      <c r="AC75" s="304"/>
      <c r="AD75" s="304"/>
      <c r="AE75" s="304"/>
      <c r="AF75" s="304"/>
      <c r="AG75" s="304"/>
      <c r="AH75" s="304"/>
      <c r="AI75" s="304"/>
      <c r="AJ75" s="307"/>
      <c r="AL75" s="303"/>
      <c r="AM75" s="303"/>
      <c r="AN75" s="303"/>
      <c r="AO75" s="303"/>
      <c r="AP75" s="303"/>
      <c r="AQ75" s="303"/>
      <c r="AR75" s="303"/>
    </row>
    <row r="76" spans="1:44" s="346" customFormat="1" ht="23.25" customHeight="1">
      <c r="A76" s="304"/>
      <c r="B76" s="329"/>
      <c r="C76" s="329"/>
      <c r="D76" s="329"/>
      <c r="E76" s="329"/>
      <c r="F76" s="329"/>
      <c r="G76" s="329"/>
      <c r="H76" s="329"/>
      <c r="I76" s="328"/>
      <c r="J76" s="328"/>
      <c r="K76" s="328"/>
      <c r="L76" s="328"/>
      <c r="M76" s="328"/>
      <c r="N76" s="328"/>
      <c r="O76" s="328"/>
      <c r="P76" s="328"/>
      <c r="Q76" s="328"/>
      <c r="R76" s="328"/>
      <c r="S76" s="328"/>
      <c r="T76" s="328"/>
      <c r="U76" s="328"/>
      <c r="V76" s="328"/>
      <c r="W76" s="304"/>
      <c r="X76" s="304"/>
      <c r="Y76" s="304"/>
      <c r="Z76" s="304"/>
      <c r="AA76" s="304"/>
      <c r="AB76" s="304"/>
      <c r="AC76" s="304"/>
      <c r="AD76" s="304"/>
      <c r="AE76" s="304"/>
      <c r="AF76" s="304"/>
      <c r="AG76" s="304"/>
      <c r="AH76" s="304"/>
      <c r="AI76" s="304"/>
      <c r="AJ76" s="307"/>
      <c r="AL76" s="303"/>
      <c r="AM76" s="303"/>
      <c r="AN76" s="303"/>
      <c r="AO76" s="303"/>
      <c r="AP76" s="303"/>
      <c r="AQ76" s="303"/>
      <c r="AR76" s="303"/>
    </row>
    <row r="77" spans="1:44" s="346" customFormat="1" ht="23.25" customHeight="1">
      <c r="A77" s="304"/>
      <c r="B77" s="329"/>
      <c r="C77" s="329"/>
      <c r="D77" s="329"/>
      <c r="E77" s="329"/>
      <c r="F77" s="329"/>
      <c r="G77" s="329"/>
      <c r="H77" s="329"/>
      <c r="I77" s="328"/>
      <c r="J77" s="328"/>
      <c r="K77" s="328"/>
      <c r="L77" s="328"/>
      <c r="M77" s="328"/>
      <c r="N77" s="328"/>
      <c r="O77" s="328"/>
      <c r="P77" s="328"/>
      <c r="Q77" s="328"/>
      <c r="R77" s="328"/>
      <c r="S77" s="328"/>
      <c r="T77" s="328"/>
      <c r="U77" s="328"/>
      <c r="V77" s="328"/>
      <c r="W77" s="304"/>
      <c r="X77" s="304"/>
      <c r="Y77" s="304"/>
      <c r="Z77" s="304"/>
      <c r="AA77" s="304"/>
      <c r="AB77" s="304"/>
      <c r="AC77" s="304"/>
      <c r="AD77" s="304"/>
      <c r="AE77" s="304"/>
      <c r="AF77" s="304"/>
      <c r="AG77" s="304"/>
      <c r="AH77" s="304"/>
      <c r="AI77" s="304"/>
      <c r="AJ77" s="307"/>
      <c r="AL77" s="303"/>
      <c r="AM77" s="303"/>
      <c r="AN77" s="303"/>
      <c r="AO77" s="303"/>
      <c r="AP77" s="303"/>
      <c r="AQ77" s="303"/>
      <c r="AR77" s="303"/>
    </row>
    <row r="78" spans="1:44" s="346" customFormat="1" ht="23.25" customHeight="1">
      <c r="A78" s="304"/>
      <c r="G78" s="329"/>
      <c r="H78" s="329"/>
      <c r="I78" s="328"/>
      <c r="J78" s="328"/>
      <c r="K78" s="328"/>
      <c r="L78" s="328"/>
      <c r="M78" s="328"/>
      <c r="N78" s="328"/>
      <c r="O78" s="328"/>
      <c r="P78" s="328"/>
      <c r="Q78" s="328"/>
      <c r="R78" s="328"/>
      <c r="S78" s="328"/>
      <c r="T78" s="328"/>
      <c r="U78" s="328"/>
      <c r="V78" s="328"/>
      <c r="W78" s="304"/>
      <c r="X78" s="304"/>
      <c r="Y78" s="304"/>
      <c r="Z78" s="304"/>
      <c r="AA78" s="304"/>
      <c r="AB78" s="304"/>
      <c r="AC78" s="304"/>
      <c r="AD78" s="304"/>
      <c r="AE78" s="304"/>
      <c r="AF78" s="304"/>
      <c r="AG78" s="304"/>
      <c r="AH78" s="304"/>
      <c r="AI78" s="304"/>
      <c r="AJ78" s="307"/>
      <c r="AL78" s="303"/>
      <c r="AM78" s="303"/>
      <c r="AN78" s="303"/>
      <c r="AO78" s="303"/>
      <c r="AP78" s="303"/>
      <c r="AQ78" s="303"/>
      <c r="AR78" s="303"/>
    </row>
    <row r="79" spans="1:44" s="346" customFormat="1" ht="23.25" customHeight="1">
      <c r="A79" s="304"/>
      <c r="G79" s="329"/>
      <c r="H79" s="329"/>
      <c r="I79" s="328"/>
      <c r="J79" s="328"/>
      <c r="K79" s="328"/>
      <c r="L79" s="328"/>
      <c r="M79" s="328"/>
      <c r="N79" s="328"/>
      <c r="O79" s="328"/>
      <c r="P79" s="328"/>
      <c r="Q79" s="328"/>
      <c r="R79" s="328"/>
      <c r="S79" s="328"/>
      <c r="T79" s="328"/>
      <c r="U79" s="328"/>
      <c r="V79" s="328"/>
      <c r="W79" s="304"/>
      <c r="X79" s="304"/>
      <c r="Y79" s="304"/>
      <c r="Z79" s="304"/>
      <c r="AA79" s="304"/>
      <c r="AB79" s="304"/>
      <c r="AC79" s="304"/>
      <c r="AD79" s="304"/>
      <c r="AE79" s="304"/>
      <c r="AF79" s="304"/>
      <c r="AG79" s="304"/>
      <c r="AH79" s="304"/>
      <c r="AI79" s="304"/>
      <c r="AJ79" s="307"/>
      <c r="AL79" s="303"/>
      <c r="AM79" s="303"/>
      <c r="AN79" s="303"/>
      <c r="AO79" s="303"/>
      <c r="AP79" s="303"/>
      <c r="AQ79" s="303"/>
      <c r="AR79" s="303"/>
    </row>
    <row r="80" spans="1:44" s="346" customFormat="1" ht="23.25" customHeight="1">
      <c r="A80" s="304"/>
      <c r="G80" s="329"/>
      <c r="H80" s="329"/>
      <c r="I80" s="328"/>
      <c r="J80" s="328"/>
      <c r="K80" s="328"/>
      <c r="L80" s="328"/>
      <c r="M80" s="328"/>
      <c r="N80" s="328"/>
      <c r="O80" s="328"/>
      <c r="P80" s="328"/>
      <c r="Q80" s="328"/>
      <c r="R80" s="328"/>
      <c r="S80" s="328"/>
      <c r="T80" s="328"/>
      <c r="U80" s="328"/>
      <c r="V80" s="328"/>
      <c r="W80" s="304"/>
      <c r="X80" s="304"/>
      <c r="Y80" s="304"/>
      <c r="Z80" s="304"/>
      <c r="AA80" s="304"/>
      <c r="AB80" s="304"/>
      <c r="AC80" s="304"/>
      <c r="AD80" s="304"/>
      <c r="AE80" s="304"/>
      <c r="AF80" s="304"/>
      <c r="AG80" s="304"/>
      <c r="AH80" s="304"/>
      <c r="AI80" s="304"/>
      <c r="AJ80" s="307"/>
      <c r="AL80" s="303"/>
      <c r="AM80" s="303"/>
      <c r="AN80" s="303"/>
      <c r="AO80" s="303"/>
      <c r="AP80" s="303"/>
      <c r="AQ80" s="303"/>
      <c r="AR80" s="303"/>
    </row>
    <row r="81" spans="1:44" s="346" customFormat="1" ht="23.25" customHeight="1">
      <c r="A81" s="304"/>
      <c r="G81" s="329"/>
      <c r="H81" s="329"/>
      <c r="I81" s="328"/>
      <c r="J81" s="328"/>
      <c r="K81" s="328"/>
      <c r="L81" s="328"/>
      <c r="M81" s="328"/>
      <c r="N81" s="328"/>
      <c r="O81" s="328"/>
      <c r="P81" s="328"/>
      <c r="Q81" s="328"/>
      <c r="R81" s="328"/>
      <c r="S81" s="328"/>
      <c r="T81" s="328"/>
      <c r="U81" s="328"/>
      <c r="V81" s="328"/>
      <c r="W81" s="304"/>
      <c r="X81" s="304"/>
      <c r="Y81" s="304"/>
      <c r="Z81" s="304"/>
      <c r="AA81" s="304"/>
      <c r="AB81" s="304"/>
      <c r="AC81" s="304"/>
      <c r="AD81" s="304"/>
      <c r="AE81" s="304"/>
      <c r="AF81" s="304"/>
      <c r="AG81" s="304"/>
      <c r="AH81" s="304"/>
      <c r="AI81" s="304"/>
      <c r="AJ81" s="307"/>
      <c r="AL81" s="303"/>
      <c r="AM81" s="303"/>
      <c r="AN81" s="303"/>
      <c r="AO81" s="303"/>
      <c r="AP81" s="303"/>
      <c r="AQ81" s="303"/>
      <c r="AR81" s="303"/>
    </row>
    <row r="82" spans="1:44" s="346" customFormat="1" ht="23.25" customHeight="1">
      <c r="A82" s="304"/>
      <c r="G82" s="329"/>
      <c r="H82" s="329"/>
      <c r="I82" s="328"/>
      <c r="J82" s="328"/>
      <c r="K82" s="328"/>
      <c r="L82" s="328"/>
      <c r="M82" s="328"/>
      <c r="N82" s="328"/>
      <c r="O82" s="328"/>
      <c r="P82" s="328"/>
      <c r="Q82" s="328"/>
      <c r="R82" s="328"/>
      <c r="S82" s="328"/>
      <c r="T82" s="328"/>
      <c r="U82" s="328"/>
      <c r="V82" s="328"/>
      <c r="W82" s="304"/>
      <c r="X82" s="304"/>
      <c r="Y82" s="304"/>
      <c r="Z82" s="304"/>
      <c r="AA82" s="304"/>
      <c r="AB82" s="304"/>
      <c r="AC82" s="304"/>
      <c r="AD82" s="304"/>
      <c r="AE82" s="304"/>
      <c r="AF82" s="304"/>
      <c r="AG82" s="304"/>
      <c r="AH82" s="304"/>
      <c r="AI82" s="304"/>
      <c r="AJ82" s="307"/>
      <c r="AL82" s="303"/>
      <c r="AM82" s="303"/>
      <c r="AN82" s="303"/>
      <c r="AO82" s="303"/>
      <c r="AP82" s="303"/>
      <c r="AQ82" s="303"/>
      <c r="AR82" s="303"/>
    </row>
    <row r="83" spans="1:44" s="346" customFormat="1" ht="23.25" customHeight="1">
      <c r="A83" s="304"/>
      <c r="G83" s="329"/>
      <c r="H83" s="329"/>
      <c r="I83" s="328"/>
      <c r="J83" s="328"/>
      <c r="K83" s="328"/>
      <c r="L83" s="328"/>
      <c r="M83" s="328"/>
      <c r="N83" s="328"/>
      <c r="O83" s="328"/>
      <c r="P83" s="328"/>
      <c r="Q83" s="328"/>
      <c r="R83" s="328"/>
      <c r="S83" s="328"/>
      <c r="T83" s="328"/>
      <c r="U83" s="328"/>
      <c r="V83" s="328"/>
      <c r="W83" s="304"/>
      <c r="X83" s="304"/>
      <c r="Y83" s="304"/>
      <c r="Z83" s="304"/>
      <c r="AA83" s="304"/>
      <c r="AB83" s="304"/>
      <c r="AC83" s="304"/>
      <c r="AD83" s="304"/>
      <c r="AE83" s="304"/>
      <c r="AF83" s="304"/>
      <c r="AG83" s="304"/>
      <c r="AH83" s="304"/>
      <c r="AI83" s="304"/>
      <c r="AJ83" s="307"/>
      <c r="AL83" s="303"/>
      <c r="AM83" s="303"/>
      <c r="AN83" s="303"/>
      <c r="AO83" s="303"/>
      <c r="AP83" s="303"/>
      <c r="AQ83" s="303"/>
      <c r="AR83" s="303"/>
    </row>
    <row r="84" spans="1:44" s="346" customFormat="1" ht="23.25" customHeight="1">
      <c r="A84" s="304"/>
      <c r="G84" s="329"/>
      <c r="H84" s="329"/>
      <c r="I84" s="328"/>
      <c r="J84" s="328"/>
      <c r="K84" s="328"/>
      <c r="L84" s="328"/>
      <c r="M84" s="328"/>
      <c r="N84" s="328"/>
      <c r="O84" s="328"/>
      <c r="P84" s="328"/>
      <c r="Q84" s="328"/>
      <c r="R84" s="328"/>
      <c r="S84" s="328"/>
      <c r="T84" s="328"/>
      <c r="U84" s="328"/>
      <c r="V84" s="328"/>
      <c r="W84" s="304"/>
      <c r="X84" s="304"/>
      <c r="Y84" s="304"/>
      <c r="Z84" s="304"/>
      <c r="AA84" s="304"/>
      <c r="AB84" s="304"/>
      <c r="AC84" s="304"/>
      <c r="AD84" s="304"/>
      <c r="AE84" s="304"/>
      <c r="AF84" s="304"/>
      <c r="AG84" s="304"/>
      <c r="AH84" s="304"/>
      <c r="AI84" s="304"/>
      <c r="AJ84" s="307"/>
      <c r="AL84" s="303"/>
      <c r="AM84" s="303"/>
      <c r="AN84" s="303"/>
      <c r="AO84" s="303"/>
      <c r="AP84" s="303"/>
      <c r="AQ84" s="303"/>
      <c r="AR84" s="303"/>
    </row>
    <row r="85" spans="1:44" s="346" customFormat="1" ht="23.25" customHeight="1">
      <c r="A85" s="304"/>
      <c r="G85" s="329"/>
      <c r="H85" s="329"/>
      <c r="I85" s="328"/>
      <c r="J85" s="328"/>
      <c r="K85" s="328"/>
      <c r="L85" s="328"/>
      <c r="M85" s="328"/>
      <c r="N85" s="328"/>
      <c r="O85" s="328"/>
      <c r="P85" s="328"/>
      <c r="Q85" s="328"/>
      <c r="R85" s="328"/>
      <c r="S85" s="328"/>
      <c r="T85" s="328"/>
      <c r="U85" s="328"/>
      <c r="V85" s="328"/>
      <c r="W85" s="304"/>
      <c r="X85" s="304"/>
      <c r="Y85" s="304"/>
      <c r="Z85" s="304"/>
      <c r="AA85" s="304"/>
      <c r="AB85" s="304"/>
      <c r="AC85" s="304"/>
      <c r="AD85" s="304"/>
      <c r="AE85" s="304"/>
      <c r="AF85" s="304"/>
      <c r="AG85" s="304"/>
      <c r="AH85" s="304"/>
      <c r="AI85" s="304"/>
      <c r="AJ85" s="307"/>
      <c r="AL85" s="303"/>
      <c r="AM85" s="303"/>
      <c r="AN85" s="303"/>
      <c r="AO85" s="303"/>
      <c r="AP85" s="303"/>
      <c r="AQ85" s="303"/>
      <c r="AR85" s="303"/>
    </row>
    <row r="86" spans="1:44" s="346" customFormat="1" ht="23.25" customHeight="1">
      <c r="A86" s="304"/>
      <c r="G86" s="329"/>
      <c r="H86" s="329"/>
      <c r="I86" s="328"/>
      <c r="J86" s="328"/>
      <c r="K86" s="328"/>
      <c r="L86" s="328"/>
      <c r="M86" s="328"/>
      <c r="N86" s="328"/>
      <c r="O86" s="328"/>
      <c r="P86" s="328"/>
      <c r="Q86" s="328"/>
      <c r="R86" s="328"/>
      <c r="S86" s="328"/>
      <c r="T86" s="328"/>
      <c r="U86" s="328"/>
      <c r="V86" s="328"/>
      <c r="W86" s="304"/>
      <c r="X86" s="304"/>
      <c r="Y86" s="304"/>
      <c r="Z86" s="304"/>
      <c r="AA86" s="304"/>
      <c r="AB86" s="304"/>
      <c r="AC86" s="304"/>
      <c r="AD86" s="304"/>
      <c r="AE86" s="304"/>
      <c r="AF86" s="304"/>
      <c r="AG86" s="304"/>
      <c r="AH86" s="304"/>
      <c r="AI86" s="304"/>
      <c r="AJ86" s="307"/>
      <c r="AL86" s="303"/>
      <c r="AM86" s="303"/>
      <c r="AN86" s="303"/>
      <c r="AO86" s="303"/>
      <c r="AP86" s="303"/>
      <c r="AQ86" s="303"/>
      <c r="AR86" s="303"/>
    </row>
    <row r="87" spans="1:44" s="346" customFormat="1" ht="23.25" customHeight="1">
      <c r="A87" s="304"/>
      <c r="G87" s="329"/>
      <c r="H87" s="329"/>
      <c r="I87" s="328"/>
      <c r="J87" s="328"/>
      <c r="K87" s="328"/>
      <c r="L87" s="328"/>
      <c r="M87" s="328"/>
      <c r="N87" s="328"/>
      <c r="O87" s="328"/>
      <c r="P87" s="328"/>
      <c r="Q87" s="328"/>
      <c r="R87" s="328"/>
      <c r="S87" s="328"/>
      <c r="T87" s="328"/>
      <c r="U87" s="328"/>
      <c r="V87" s="328"/>
      <c r="W87" s="304"/>
      <c r="X87" s="304"/>
      <c r="Y87" s="304"/>
      <c r="Z87" s="304"/>
      <c r="AA87" s="304"/>
      <c r="AB87" s="304"/>
      <c r="AC87" s="304"/>
      <c r="AD87" s="304"/>
      <c r="AE87" s="304"/>
      <c r="AF87" s="304"/>
      <c r="AG87" s="304"/>
      <c r="AH87" s="304"/>
      <c r="AI87" s="304"/>
      <c r="AJ87" s="307"/>
      <c r="AL87" s="303"/>
      <c r="AM87" s="303"/>
      <c r="AN87" s="303"/>
      <c r="AO87" s="303"/>
      <c r="AP87" s="303"/>
      <c r="AQ87" s="303"/>
      <c r="AR87" s="303"/>
    </row>
    <row r="88" spans="1:44" s="346" customFormat="1" ht="23.25" customHeight="1">
      <c r="A88" s="304"/>
      <c r="G88" s="329"/>
      <c r="H88" s="329"/>
      <c r="I88" s="328"/>
      <c r="J88" s="328"/>
      <c r="K88" s="328"/>
      <c r="L88" s="328"/>
      <c r="M88" s="328"/>
      <c r="N88" s="328"/>
      <c r="O88" s="328"/>
      <c r="P88" s="328"/>
      <c r="Q88" s="328"/>
      <c r="R88" s="328"/>
      <c r="S88" s="328"/>
      <c r="T88" s="328"/>
      <c r="U88" s="328"/>
      <c r="V88" s="328"/>
      <c r="W88" s="304"/>
      <c r="X88" s="304"/>
      <c r="Y88" s="304"/>
      <c r="Z88" s="304"/>
      <c r="AA88" s="304"/>
      <c r="AB88" s="304"/>
      <c r="AC88" s="304"/>
      <c r="AD88" s="304"/>
      <c r="AE88" s="304"/>
      <c r="AF88" s="304"/>
      <c r="AG88" s="304"/>
      <c r="AH88" s="304"/>
      <c r="AI88" s="304"/>
      <c r="AJ88" s="307"/>
      <c r="AL88" s="303"/>
      <c r="AM88" s="303"/>
      <c r="AN88" s="303"/>
      <c r="AO88" s="303"/>
      <c r="AP88" s="303"/>
      <c r="AQ88" s="303"/>
      <c r="AR88" s="303"/>
    </row>
    <row r="89" spans="1:44" s="346" customFormat="1" ht="23.25" customHeight="1">
      <c r="A89" s="304"/>
      <c r="G89" s="329"/>
      <c r="H89" s="329"/>
      <c r="I89" s="328"/>
      <c r="J89" s="328"/>
      <c r="K89" s="328"/>
      <c r="L89" s="328"/>
      <c r="M89" s="328"/>
      <c r="N89" s="328"/>
      <c r="O89" s="328"/>
      <c r="P89" s="328"/>
      <c r="Q89" s="328"/>
      <c r="R89" s="328"/>
      <c r="S89" s="328"/>
      <c r="T89" s="328"/>
      <c r="U89" s="328"/>
      <c r="V89" s="328"/>
      <c r="W89" s="304"/>
      <c r="X89" s="304"/>
      <c r="Y89" s="304"/>
      <c r="Z89" s="304"/>
      <c r="AA89" s="304"/>
      <c r="AB89" s="304"/>
      <c r="AC89" s="304"/>
      <c r="AD89" s="304"/>
      <c r="AE89" s="304"/>
      <c r="AF89" s="304"/>
      <c r="AG89" s="304"/>
      <c r="AH89" s="304"/>
      <c r="AI89" s="304"/>
      <c r="AJ89" s="307"/>
      <c r="AL89" s="303"/>
      <c r="AM89" s="303"/>
      <c r="AN89" s="303"/>
      <c r="AO89" s="303"/>
      <c r="AP89" s="303"/>
      <c r="AQ89" s="303"/>
      <c r="AR89" s="303"/>
    </row>
    <row r="90" spans="1:44" s="346" customFormat="1" ht="23.25" customHeight="1">
      <c r="A90" s="304"/>
      <c r="G90" s="329"/>
      <c r="H90" s="329"/>
      <c r="I90" s="328"/>
      <c r="J90" s="328"/>
      <c r="K90" s="328"/>
      <c r="L90" s="328"/>
      <c r="M90" s="328"/>
      <c r="N90" s="328"/>
      <c r="O90" s="328"/>
      <c r="P90" s="328"/>
      <c r="Q90" s="328"/>
      <c r="R90" s="328"/>
      <c r="S90" s="328"/>
      <c r="T90" s="328"/>
      <c r="U90" s="328"/>
      <c r="V90" s="328"/>
      <c r="W90" s="304"/>
      <c r="X90" s="304"/>
      <c r="Y90" s="304"/>
      <c r="Z90" s="304"/>
      <c r="AA90" s="304"/>
      <c r="AB90" s="304"/>
      <c r="AC90" s="304"/>
      <c r="AD90" s="304"/>
      <c r="AE90" s="304"/>
      <c r="AF90" s="304"/>
      <c r="AG90" s="304"/>
      <c r="AH90" s="304"/>
      <c r="AI90" s="304"/>
      <c r="AJ90" s="307"/>
      <c r="AL90" s="303"/>
      <c r="AM90" s="303"/>
      <c r="AN90" s="303"/>
      <c r="AO90" s="303"/>
      <c r="AP90" s="303"/>
      <c r="AQ90" s="303"/>
      <c r="AR90" s="303"/>
    </row>
    <row r="91" spans="1:44" s="346" customFormat="1" ht="23.25" customHeight="1">
      <c r="A91" s="304"/>
      <c r="G91" s="329"/>
      <c r="H91" s="329"/>
      <c r="I91" s="328"/>
      <c r="J91" s="328"/>
      <c r="K91" s="328"/>
      <c r="L91" s="328"/>
      <c r="M91" s="328"/>
      <c r="N91" s="328"/>
      <c r="O91" s="328"/>
      <c r="P91" s="328"/>
      <c r="Q91" s="328"/>
      <c r="R91" s="328"/>
      <c r="S91" s="328"/>
      <c r="T91" s="328"/>
      <c r="U91" s="328"/>
      <c r="V91" s="328"/>
      <c r="W91" s="304"/>
      <c r="X91" s="304"/>
      <c r="Y91" s="304"/>
      <c r="Z91" s="304"/>
      <c r="AA91" s="304"/>
      <c r="AB91" s="304"/>
      <c r="AC91" s="304"/>
      <c r="AD91" s="304"/>
      <c r="AE91" s="304"/>
      <c r="AF91" s="304"/>
      <c r="AG91" s="304"/>
      <c r="AH91" s="304"/>
      <c r="AI91" s="304"/>
      <c r="AJ91" s="307"/>
      <c r="AL91" s="303"/>
      <c r="AM91" s="303"/>
      <c r="AN91" s="303"/>
      <c r="AO91" s="303"/>
      <c r="AP91" s="303"/>
      <c r="AQ91" s="303"/>
      <c r="AR91" s="303"/>
    </row>
    <row r="92" spans="1:44" s="346" customFormat="1" ht="23.25" customHeight="1">
      <c r="A92" s="304"/>
      <c r="G92" s="329"/>
      <c r="H92" s="329"/>
      <c r="I92" s="328"/>
      <c r="J92" s="328"/>
      <c r="K92" s="328"/>
      <c r="L92" s="328"/>
      <c r="M92" s="328"/>
      <c r="N92" s="328"/>
      <c r="O92" s="328"/>
      <c r="P92" s="328"/>
      <c r="Q92" s="328"/>
      <c r="R92" s="328"/>
      <c r="S92" s="328"/>
      <c r="T92" s="328"/>
      <c r="U92" s="328"/>
      <c r="V92" s="328"/>
      <c r="W92" s="304"/>
      <c r="X92" s="304"/>
      <c r="Y92" s="304"/>
      <c r="Z92" s="304"/>
      <c r="AA92" s="304"/>
      <c r="AB92" s="304"/>
      <c r="AC92" s="304"/>
      <c r="AD92" s="304"/>
      <c r="AE92" s="304"/>
      <c r="AF92" s="304"/>
      <c r="AG92" s="304"/>
      <c r="AH92" s="304"/>
      <c r="AI92" s="304"/>
      <c r="AJ92" s="307"/>
      <c r="AL92" s="303"/>
      <c r="AM92" s="303"/>
      <c r="AN92" s="303"/>
      <c r="AO92" s="303"/>
      <c r="AP92" s="303"/>
      <c r="AQ92" s="303"/>
      <c r="AR92" s="303"/>
    </row>
    <row r="93" spans="1:44" s="346" customFormat="1" ht="23.25" customHeight="1">
      <c r="A93" s="304"/>
      <c r="G93" s="329"/>
      <c r="H93" s="329"/>
      <c r="I93" s="328"/>
      <c r="J93" s="328"/>
      <c r="K93" s="328"/>
      <c r="L93" s="328"/>
      <c r="M93" s="328"/>
      <c r="N93" s="328"/>
      <c r="O93" s="328"/>
      <c r="P93" s="328"/>
      <c r="Q93" s="328"/>
      <c r="R93" s="328"/>
      <c r="S93" s="328"/>
      <c r="T93" s="328"/>
      <c r="U93" s="328"/>
      <c r="V93" s="328"/>
      <c r="W93" s="304"/>
      <c r="X93" s="304"/>
      <c r="Y93" s="304"/>
      <c r="Z93" s="304"/>
      <c r="AA93" s="304"/>
      <c r="AB93" s="304"/>
      <c r="AC93" s="304"/>
      <c r="AD93" s="304"/>
      <c r="AE93" s="304"/>
      <c r="AF93" s="304"/>
      <c r="AG93" s="304"/>
      <c r="AH93" s="304"/>
      <c r="AI93" s="304"/>
      <c r="AJ93" s="307"/>
      <c r="AL93" s="303"/>
      <c r="AM93" s="303"/>
      <c r="AN93" s="303"/>
      <c r="AO93" s="303"/>
      <c r="AP93" s="303"/>
      <c r="AQ93" s="303"/>
      <c r="AR93" s="303"/>
    </row>
    <row r="94" spans="1:44" s="346" customFormat="1" ht="23.25" customHeight="1">
      <c r="A94" s="304"/>
      <c r="G94" s="329"/>
      <c r="H94" s="329"/>
      <c r="I94" s="328"/>
      <c r="J94" s="328"/>
      <c r="K94" s="328"/>
      <c r="L94" s="328"/>
      <c r="M94" s="328"/>
      <c r="N94" s="328"/>
      <c r="O94" s="328"/>
      <c r="P94" s="328"/>
      <c r="Q94" s="328"/>
      <c r="R94" s="328"/>
      <c r="S94" s="328"/>
      <c r="T94" s="328"/>
      <c r="U94" s="328"/>
      <c r="V94" s="328"/>
      <c r="W94" s="304"/>
      <c r="X94" s="304"/>
      <c r="Y94" s="304"/>
      <c r="Z94" s="304"/>
      <c r="AA94" s="304"/>
      <c r="AB94" s="304"/>
      <c r="AC94" s="304"/>
      <c r="AD94" s="304"/>
      <c r="AE94" s="304"/>
      <c r="AF94" s="304"/>
      <c r="AG94" s="304"/>
      <c r="AH94" s="304"/>
      <c r="AI94" s="304"/>
      <c r="AJ94" s="307"/>
      <c r="AL94" s="303"/>
      <c r="AM94" s="303"/>
      <c r="AN94" s="303"/>
      <c r="AO94" s="303"/>
      <c r="AP94" s="303"/>
      <c r="AQ94" s="303"/>
      <c r="AR94" s="303"/>
    </row>
    <row r="95" spans="1:44" s="346" customFormat="1" ht="23.25" customHeight="1">
      <c r="A95" s="304"/>
      <c r="G95" s="329"/>
      <c r="H95" s="329"/>
      <c r="I95" s="328"/>
      <c r="J95" s="328"/>
      <c r="K95" s="328"/>
      <c r="L95" s="328"/>
      <c r="M95" s="328"/>
      <c r="N95" s="328"/>
      <c r="O95" s="328"/>
      <c r="P95" s="328"/>
      <c r="Q95" s="328"/>
      <c r="R95" s="328"/>
      <c r="S95" s="328"/>
      <c r="T95" s="328"/>
      <c r="U95" s="328"/>
      <c r="V95" s="328"/>
      <c r="W95" s="304"/>
      <c r="X95" s="304"/>
      <c r="Y95" s="304"/>
      <c r="Z95" s="304"/>
      <c r="AA95" s="304"/>
      <c r="AB95" s="304"/>
      <c r="AC95" s="304"/>
      <c r="AD95" s="304"/>
      <c r="AE95" s="304"/>
      <c r="AF95" s="304"/>
      <c r="AG95" s="304"/>
      <c r="AH95" s="304"/>
      <c r="AI95" s="304"/>
      <c r="AJ95" s="307"/>
      <c r="AL95" s="303"/>
      <c r="AM95" s="303"/>
      <c r="AN95" s="303"/>
      <c r="AO95" s="303"/>
      <c r="AP95" s="303"/>
      <c r="AQ95" s="303"/>
      <c r="AR95" s="303"/>
    </row>
    <row r="96" spans="1:44" s="346" customFormat="1" ht="23.25" customHeight="1">
      <c r="A96" s="304"/>
      <c r="G96" s="329"/>
      <c r="H96" s="329"/>
      <c r="I96" s="328"/>
      <c r="J96" s="328"/>
      <c r="K96" s="328"/>
      <c r="L96" s="328"/>
      <c r="M96" s="328"/>
      <c r="N96" s="328"/>
      <c r="O96" s="328"/>
      <c r="P96" s="328"/>
      <c r="Q96" s="328"/>
      <c r="R96" s="328"/>
      <c r="S96" s="328"/>
      <c r="T96" s="328"/>
      <c r="U96" s="328"/>
      <c r="V96" s="328"/>
      <c r="W96" s="304"/>
      <c r="X96" s="304"/>
      <c r="Y96" s="304"/>
      <c r="Z96" s="304"/>
      <c r="AA96" s="304"/>
      <c r="AB96" s="304"/>
      <c r="AC96" s="304"/>
      <c r="AD96" s="304"/>
      <c r="AE96" s="304"/>
      <c r="AF96" s="304"/>
      <c r="AG96" s="304"/>
      <c r="AH96" s="304"/>
      <c r="AI96" s="304"/>
      <c r="AJ96" s="307"/>
      <c r="AL96" s="303"/>
      <c r="AM96" s="303"/>
      <c r="AN96" s="303"/>
      <c r="AO96" s="303"/>
      <c r="AP96" s="303"/>
      <c r="AQ96" s="303"/>
      <c r="AR96" s="303"/>
    </row>
    <row r="97" spans="1:44" s="346" customFormat="1" ht="23.25" customHeight="1">
      <c r="A97" s="304"/>
      <c r="G97" s="329"/>
      <c r="H97" s="329"/>
      <c r="I97" s="328"/>
      <c r="J97" s="328"/>
      <c r="K97" s="328"/>
      <c r="L97" s="328"/>
      <c r="M97" s="328"/>
      <c r="N97" s="328"/>
      <c r="O97" s="328"/>
      <c r="P97" s="328"/>
      <c r="Q97" s="328"/>
      <c r="R97" s="328"/>
      <c r="S97" s="328"/>
      <c r="T97" s="328"/>
      <c r="U97" s="328"/>
      <c r="V97" s="328"/>
      <c r="W97" s="304"/>
      <c r="X97" s="304"/>
      <c r="Y97" s="304"/>
      <c r="Z97" s="304"/>
      <c r="AA97" s="304"/>
      <c r="AB97" s="304"/>
      <c r="AC97" s="304"/>
      <c r="AD97" s="304"/>
      <c r="AE97" s="304"/>
      <c r="AF97" s="304"/>
      <c r="AG97" s="304"/>
      <c r="AH97" s="304"/>
      <c r="AI97" s="304"/>
      <c r="AJ97" s="307"/>
      <c r="AL97" s="303"/>
      <c r="AM97" s="303"/>
      <c r="AN97" s="303"/>
      <c r="AO97" s="303"/>
      <c r="AP97" s="303"/>
      <c r="AQ97" s="303"/>
      <c r="AR97" s="303"/>
    </row>
    <row r="98" spans="1:44" s="346" customFormat="1" ht="23.25" customHeight="1">
      <c r="A98" s="304"/>
      <c r="G98" s="329"/>
      <c r="H98" s="329"/>
      <c r="I98" s="328"/>
      <c r="J98" s="328"/>
      <c r="K98" s="328"/>
      <c r="L98" s="328"/>
      <c r="M98" s="328"/>
      <c r="N98" s="328"/>
      <c r="O98" s="328"/>
      <c r="P98" s="328"/>
      <c r="Q98" s="328"/>
      <c r="R98" s="328"/>
      <c r="S98" s="328"/>
      <c r="T98" s="328"/>
      <c r="U98" s="328"/>
      <c r="V98" s="328"/>
      <c r="W98" s="304"/>
      <c r="X98" s="304"/>
      <c r="Y98" s="304"/>
      <c r="Z98" s="304"/>
      <c r="AA98" s="304"/>
      <c r="AB98" s="304"/>
      <c r="AC98" s="304"/>
      <c r="AD98" s="304"/>
      <c r="AE98" s="304"/>
      <c r="AF98" s="304"/>
      <c r="AG98" s="304"/>
      <c r="AH98" s="304"/>
      <c r="AI98" s="304"/>
      <c r="AJ98" s="307"/>
      <c r="AL98" s="303"/>
      <c r="AM98" s="303"/>
      <c r="AN98" s="303"/>
      <c r="AO98" s="303"/>
      <c r="AP98" s="303"/>
      <c r="AQ98" s="303"/>
      <c r="AR98" s="303"/>
    </row>
    <row r="99" spans="1:44" s="346" customFormat="1" ht="23.25" customHeight="1">
      <c r="A99" s="304"/>
      <c r="G99" s="329"/>
      <c r="H99" s="329"/>
      <c r="I99" s="328"/>
      <c r="J99" s="328"/>
      <c r="K99" s="328"/>
      <c r="L99" s="328"/>
      <c r="M99" s="328"/>
      <c r="N99" s="328"/>
      <c r="O99" s="328"/>
      <c r="P99" s="328"/>
      <c r="Q99" s="328"/>
      <c r="R99" s="328"/>
      <c r="S99" s="328"/>
      <c r="T99" s="328"/>
      <c r="U99" s="328"/>
      <c r="V99" s="328"/>
      <c r="W99" s="304"/>
      <c r="X99" s="304"/>
      <c r="Y99" s="304"/>
      <c r="Z99" s="304"/>
      <c r="AA99" s="304"/>
      <c r="AB99" s="304"/>
      <c r="AC99" s="304"/>
      <c r="AD99" s="304"/>
      <c r="AE99" s="304"/>
      <c r="AF99" s="304"/>
      <c r="AG99" s="304"/>
      <c r="AH99" s="304"/>
      <c r="AI99" s="304"/>
      <c r="AJ99" s="307"/>
      <c r="AL99" s="303"/>
      <c r="AM99" s="303"/>
      <c r="AN99" s="303"/>
      <c r="AO99" s="303"/>
      <c r="AP99" s="303"/>
      <c r="AQ99" s="303"/>
      <c r="AR99" s="303"/>
    </row>
    <row r="100" spans="1:44" s="346" customFormat="1" ht="23.25" customHeight="1">
      <c r="A100" s="304"/>
      <c r="G100" s="329"/>
      <c r="H100" s="329"/>
      <c r="I100" s="328"/>
      <c r="J100" s="328"/>
      <c r="K100" s="328"/>
      <c r="L100" s="328"/>
      <c r="M100" s="328"/>
      <c r="N100" s="328"/>
      <c r="O100" s="328"/>
      <c r="P100" s="328"/>
      <c r="Q100" s="328"/>
      <c r="R100" s="328"/>
      <c r="S100" s="328"/>
      <c r="T100" s="328"/>
      <c r="U100" s="328"/>
      <c r="V100" s="328"/>
      <c r="W100" s="304"/>
      <c r="X100" s="304"/>
      <c r="Y100" s="304"/>
      <c r="Z100" s="304"/>
      <c r="AA100" s="304"/>
      <c r="AB100" s="304"/>
      <c r="AC100" s="304"/>
      <c r="AD100" s="304"/>
      <c r="AE100" s="304"/>
      <c r="AF100" s="304"/>
      <c r="AG100" s="304"/>
      <c r="AH100" s="304"/>
      <c r="AI100" s="304"/>
      <c r="AJ100" s="307"/>
      <c r="AL100" s="303"/>
      <c r="AM100" s="303"/>
      <c r="AN100" s="303"/>
      <c r="AO100" s="303"/>
      <c r="AP100" s="303"/>
      <c r="AQ100" s="303"/>
      <c r="AR100" s="303"/>
    </row>
    <row r="101" spans="1:44" s="346" customFormat="1" ht="23.25" customHeight="1">
      <c r="A101" s="304"/>
      <c r="G101" s="329"/>
      <c r="H101" s="329"/>
      <c r="I101" s="328"/>
      <c r="J101" s="328"/>
      <c r="K101" s="328"/>
      <c r="L101" s="328"/>
      <c r="M101" s="328"/>
      <c r="N101" s="328"/>
      <c r="O101" s="328"/>
      <c r="P101" s="328"/>
      <c r="Q101" s="328"/>
      <c r="R101" s="328"/>
      <c r="S101" s="328"/>
      <c r="T101" s="328"/>
      <c r="U101" s="328"/>
      <c r="V101" s="328"/>
      <c r="W101" s="304"/>
      <c r="X101" s="304"/>
      <c r="Y101" s="304"/>
      <c r="Z101" s="304"/>
      <c r="AA101" s="304"/>
      <c r="AB101" s="304"/>
      <c r="AC101" s="304"/>
      <c r="AD101" s="304"/>
      <c r="AE101" s="304"/>
      <c r="AF101" s="304"/>
      <c r="AG101" s="304"/>
      <c r="AH101" s="304"/>
      <c r="AI101" s="304"/>
      <c r="AJ101" s="307"/>
      <c r="AL101" s="303"/>
      <c r="AM101" s="303"/>
      <c r="AN101" s="303"/>
      <c r="AO101" s="303"/>
      <c r="AP101" s="303"/>
      <c r="AQ101" s="303"/>
      <c r="AR101" s="303"/>
    </row>
    <row r="102" spans="1:44" s="346" customFormat="1" ht="23.25" customHeight="1">
      <c r="A102" s="304"/>
      <c r="G102" s="329"/>
      <c r="H102" s="329"/>
      <c r="I102" s="328"/>
      <c r="J102" s="328"/>
      <c r="K102" s="328"/>
      <c r="L102" s="328"/>
      <c r="M102" s="328"/>
      <c r="N102" s="328"/>
      <c r="O102" s="328"/>
      <c r="P102" s="328"/>
      <c r="Q102" s="328"/>
      <c r="R102" s="328"/>
      <c r="S102" s="328"/>
      <c r="T102" s="328"/>
      <c r="U102" s="328"/>
      <c r="V102" s="328"/>
      <c r="W102" s="304"/>
      <c r="X102" s="304"/>
      <c r="Y102" s="304"/>
      <c r="Z102" s="304"/>
      <c r="AA102" s="304"/>
      <c r="AB102" s="304"/>
      <c r="AC102" s="304"/>
      <c r="AD102" s="304"/>
      <c r="AE102" s="304"/>
      <c r="AF102" s="304"/>
      <c r="AG102" s="304"/>
      <c r="AH102" s="304"/>
      <c r="AI102" s="304"/>
      <c r="AJ102" s="307"/>
      <c r="AL102" s="303"/>
      <c r="AM102" s="303"/>
      <c r="AN102" s="303"/>
      <c r="AO102" s="303"/>
      <c r="AP102" s="303"/>
      <c r="AQ102" s="303"/>
      <c r="AR102" s="303"/>
    </row>
    <row r="103" spans="1:44" s="346" customFormat="1" ht="23.25" customHeight="1">
      <c r="A103" s="304"/>
      <c r="G103" s="329"/>
      <c r="H103" s="329"/>
      <c r="I103" s="328"/>
      <c r="J103" s="328"/>
      <c r="K103" s="328"/>
      <c r="L103" s="328"/>
      <c r="M103" s="328"/>
      <c r="N103" s="328"/>
      <c r="O103" s="328"/>
      <c r="P103" s="328"/>
      <c r="Q103" s="328"/>
      <c r="R103" s="328"/>
      <c r="S103" s="328"/>
      <c r="T103" s="328"/>
      <c r="U103" s="328"/>
      <c r="V103" s="328"/>
      <c r="W103" s="304"/>
      <c r="X103" s="304"/>
      <c r="Y103" s="304"/>
      <c r="Z103" s="304"/>
      <c r="AA103" s="304"/>
      <c r="AB103" s="304"/>
      <c r="AC103" s="304"/>
      <c r="AD103" s="304"/>
      <c r="AE103" s="304"/>
      <c r="AF103" s="304"/>
      <c r="AG103" s="304"/>
      <c r="AH103" s="304"/>
      <c r="AI103" s="304"/>
      <c r="AJ103" s="307"/>
      <c r="AL103" s="303"/>
      <c r="AM103" s="303"/>
      <c r="AN103" s="303"/>
      <c r="AO103" s="303"/>
      <c r="AP103" s="303"/>
      <c r="AQ103" s="303"/>
      <c r="AR103" s="303"/>
    </row>
    <row r="104" spans="1:44" s="346" customFormat="1" ht="23.25" customHeight="1">
      <c r="A104" s="304"/>
      <c r="B104" s="329"/>
      <c r="C104" s="329"/>
      <c r="D104" s="329"/>
      <c r="E104" s="329"/>
      <c r="F104" s="329"/>
      <c r="G104" s="329"/>
      <c r="H104" s="329"/>
      <c r="I104" s="328"/>
      <c r="J104" s="328"/>
      <c r="K104" s="328"/>
      <c r="L104" s="328"/>
      <c r="M104" s="328"/>
      <c r="N104" s="328"/>
      <c r="O104" s="328"/>
      <c r="P104" s="328"/>
      <c r="Q104" s="328"/>
      <c r="R104" s="328"/>
      <c r="S104" s="328"/>
      <c r="T104" s="328"/>
      <c r="U104" s="328"/>
      <c r="V104" s="328"/>
      <c r="W104" s="304"/>
      <c r="X104" s="304"/>
      <c r="Y104" s="304"/>
      <c r="Z104" s="304"/>
      <c r="AA104" s="304"/>
      <c r="AB104" s="304"/>
      <c r="AC104" s="304"/>
      <c r="AD104" s="304"/>
      <c r="AE104" s="304"/>
      <c r="AF104" s="304"/>
      <c r="AG104" s="304"/>
      <c r="AH104" s="304"/>
      <c r="AI104" s="304"/>
      <c r="AJ104" s="307"/>
      <c r="AL104" s="303"/>
      <c r="AM104" s="303"/>
      <c r="AN104" s="303"/>
      <c r="AO104" s="303"/>
      <c r="AP104" s="303"/>
      <c r="AQ104" s="303"/>
      <c r="AR104" s="303"/>
    </row>
    <row r="105" spans="1:44" s="346" customFormat="1" ht="23.25" customHeight="1">
      <c r="A105" s="304"/>
      <c r="B105" s="329"/>
      <c r="C105" s="329"/>
      <c r="D105" s="329"/>
      <c r="E105" s="329"/>
      <c r="F105" s="329"/>
      <c r="G105" s="329"/>
      <c r="H105" s="329"/>
      <c r="I105" s="328"/>
      <c r="J105" s="328"/>
      <c r="K105" s="328"/>
      <c r="L105" s="328"/>
      <c r="M105" s="328"/>
      <c r="N105" s="328"/>
      <c r="O105" s="328"/>
      <c r="P105" s="328"/>
      <c r="Q105" s="328"/>
      <c r="R105" s="328"/>
      <c r="S105" s="328"/>
      <c r="T105" s="328"/>
      <c r="U105" s="328"/>
      <c r="V105" s="328"/>
      <c r="W105" s="304"/>
      <c r="X105" s="304"/>
      <c r="Y105" s="304"/>
      <c r="Z105" s="304"/>
      <c r="AA105" s="304"/>
      <c r="AB105" s="304"/>
      <c r="AC105" s="304"/>
      <c r="AD105" s="304"/>
      <c r="AE105" s="304"/>
      <c r="AF105" s="304"/>
      <c r="AG105" s="304"/>
      <c r="AH105" s="304"/>
      <c r="AI105" s="304"/>
      <c r="AJ105" s="307"/>
      <c r="AL105" s="303"/>
      <c r="AM105" s="303"/>
      <c r="AN105" s="303"/>
      <c r="AO105" s="303"/>
      <c r="AP105" s="303"/>
      <c r="AQ105" s="303"/>
      <c r="AR105" s="303"/>
    </row>
    <row r="106" spans="1:44" s="346" customFormat="1" ht="23.25" customHeight="1">
      <c r="A106" s="304"/>
      <c r="B106" s="329"/>
      <c r="C106" s="329"/>
      <c r="D106" s="329"/>
      <c r="E106" s="329"/>
      <c r="F106" s="329"/>
      <c r="G106" s="329"/>
      <c r="H106" s="329"/>
      <c r="I106" s="328"/>
      <c r="J106" s="328"/>
      <c r="K106" s="328"/>
      <c r="L106" s="328"/>
      <c r="M106" s="328"/>
      <c r="N106" s="328"/>
      <c r="O106" s="328"/>
      <c r="P106" s="328"/>
      <c r="Q106" s="328"/>
      <c r="R106" s="328"/>
      <c r="S106" s="328"/>
      <c r="T106" s="328"/>
      <c r="U106" s="328"/>
      <c r="V106" s="328"/>
      <c r="W106" s="304"/>
      <c r="X106" s="304"/>
      <c r="Y106" s="304"/>
      <c r="Z106" s="304"/>
      <c r="AA106" s="304"/>
      <c r="AB106" s="304"/>
      <c r="AC106" s="304"/>
      <c r="AD106" s="304"/>
      <c r="AE106" s="304"/>
      <c r="AF106" s="304"/>
      <c r="AG106" s="304"/>
      <c r="AH106" s="304"/>
      <c r="AI106" s="304"/>
      <c r="AJ106" s="307"/>
      <c r="AL106" s="303"/>
      <c r="AM106" s="303"/>
      <c r="AN106" s="303"/>
      <c r="AO106" s="303"/>
      <c r="AP106" s="303"/>
      <c r="AQ106" s="303"/>
      <c r="AR106" s="303"/>
    </row>
    <row r="107" spans="1:44" s="346" customFormat="1" ht="23.25" customHeight="1">
      <c r="A107" s="304"/>
      <c r="B107" s="329"/>
      <c r="C107" s="329"/>
      <c r="D107" s="329"/>
      <c r="E107" s="329"/>
      <c r="F107" s="329"/>
      <c r="G107" s="329"/>
      <c r="H107" s="329"/>
      <c r="I107" s="328"/>
      <c r="J107" s="328"/>
      <c r="K107" s="328"/>
      <c r="L107" s="328"/>
      <c r="M107" s="328"/>
      <c r="N107" s="328"/>
      <c r="O107" s="328"/>
      <c r="P107" s="328"/>
      <c r="Q107" s="328"/>
      <c r="R107" s="328"/>
      <c r="S107" s="328"/>
      <c r="T107" s="328"/>
      <c r="U107" s="328"/>
      <c r="V107" s="328"/>
      <c r="W107" s="304"/>
      <c r="X107" s="304"/>
      <c r="Y107" s="304"/>
      <c r="Z107" s="304"/>
      <c r="AA107" s="304"/>
      <c r="AB107" s="304"/>
      <c r="AC107" s="304"/>
      <c r="AD107" s="304"/>
      <c r="AE107" s="304"/>
      <c r="AF107" s="304"/>
      <c r="AG107" s="304"/>
      <c r="AH107" s="304"/>
      <c r="AI107" s="304"/>
      <c r="AJ107" s="307"/>
      <c r="AL107" s="303"/>
      <c r="AM107" s="303"/>
      <c r="AN107" s="303"/>
      <c r="AO107" s="303"/>
      <c r="AP107" s="303"/>
      <c r="AQ107" s="303"/>
      <c r="AR107" s="303"/>
    </row>
    <row r="108" spans="1:44" s="346" customFormat="1" ht="23.25" customHeight="1">
      <c r="A108" s="304"/>
      <c r="B108" s="329"/>
      <c r="C108" s="329"/>
      <c r="D108" s="329"/>
      <c r="E108" s="329"/>
      <c r="F108" s="329"/>
      <c r="G108" s="329"/>
      <c r="H108" s="329"/>
      <c r="I108" s="328"/>
      <c r="J108" s="328"/>
      <c r="K108" s="328"/>
      <c r="L108" s="328"/>
      <c r="M108" s="328"/>
      <c r="N108" s="328"/>
      <c r="O108" s="328"/>
      <c r="P108" s="328"/>
      <c r="Q108" s="328"/>
      <c r="R108" s="328"/>
      <c r="S108" s="328"/>
      <c r="T108" s="328"/>
      <c r="U108" s="328"/>
      <c r="V108" s="328"/>
      <c r="W108" s="304"/>
      <c r="X108" s="304"/>
      <c r="Y108" s="304"/>
      <c r="Z108" s="304"/>
      <c r="AA108" s="304"/>
      <c r="AB108" s="304"/>
      <c r="AC108" s="304"/>
      <c r="AD108" s="304"/>
      <c r="AE108" s="304"/>
      <c r="AF108" s="304"/>
      <c r="AG108" s="304"/>
      <c r="AH108" s="304"/>
      <c r="AI108" s="304"/>
      <c r="AJ108" s="307"/>
      <c r="AL108" s="303"/>
      <c r="AM108" s="303"/>
      <c r="AN108" s="303"/>
      <c r="AO108" s="303"/>
      <c r="AP108" s="303"/>
      <c r="AQ108" s="303"/>
      <c r="AR108" s="303"/>
    </row>
    <row r="109" spans="1:44" s="346" customFormat="1" ht="23.25" customHeight="1">
      <c r="A109" s="304"/>
      <c r="B109" s="329"/>
      <c r="C109" s="329"/>
      <c r="D109" s="329"/>
      <c r="E109" s="329"/>
      <c r="F109" s="329"/>
      <c r="G109" s="329"/>
      <c r="H109" s="329"/>
      <c r="I109" s="328"/>
      <c r="J109" s="328"/>
      <c r="K109" s="328"/>
      <c r="L109" s="328"/>
      <c r="M109" s="328"/>
      <c r="N109" s="328"/>
      <c r="O109" s="328"/>
      <c r="P109" s="328"/>
      <c r="Q109" s="328"/>
      <c r="R109" s="328"/>
      <c r="S109" s="328"/>
      <c r="T109" s="328"/>
      <c r="U109" s="328"/>
      <c r="V109" s="328"/>
      <c r="W109" s="304"/>
      <c r="X109" s="304"/>
      <c r="Y109" s="304"/>
      <c r="Z109" s="304"/>
      <c r="AA109" s="304"/>
      <c r="AB109" s="304"/>
      <c r="AC109" s="304"/>
      <c r="AD109" s="304"/>
      <c r="AE109" s="304"/>
      <c r="AF109" s="304"/>
      <c r="AG109" s="304"/>
      <c r="AH109" s="304"/>
      <c r="AI109" s="304"/>
      <c r="AJ109" s="307"/>
      <c r="AL109" s="303"/>
      <c r="AM109" s="303"/>
      <c r="AN109" s="303"/>
      <c r="AO109" s="303"/>
      <c r="AP109" s="303"/>
      <c r="AQ109" s="303"/>
      <c r="AR109" s="303"/>
    </row>
    <row r="110" spans="1:44" s="346" customFormat="1" ht="23.25" customHeight="1">
      <c r="A110" s="304"/>
      <c r="B110" s="329"/>
      <c r="C110" s="329"/>
      <c r="D110" s="329"/>
      <c r="E110" s="329"/>
      <c r="F110" s="329"/>
      <c r="G110" s="329"/>
      <c r="H110" s="329"/>
      <c r="I110" s="328"/>
      <c r="J110" s="328"/>
      <c r="K110" s="328"/>
      <c r="L110" s="328"/>
      <c r="M110" s="328"/>
      <c r="N110" s="328"/>
      <c r="O110" s="328"/>
      <c r="P110" s="328"/>
      <c r="Q110" s="328"/>
      <c r="R110" s="328"/>
      <c r="S110" s="328"/>
      <c r="T110" s="328"/>
      <c r="U110" s="328"/>
      <c r="V110" s="328"/>
      <c r="W110" s="304"/>
      <c r="X110" s="304"/>
      <c r="Y110" s="304"/>
      <c r="Z110" s="304"/>
      <c r="AA110" s="304"/>
      <c r="AB110" s="304"/>
      <c r="AC110" s="304"/>
      <c r="AD110" s="304"/>
      <c r="AE110" s="304"/>
      <c r="AF110" s="304"/>
      <c r="AG110" s="304"/>
      <c r="AH110" s="304"/>
      <c r="AI110" s="304"/>
      <c r="AJ110" s="307"/>
      <c r="AL110" s="303"/>
      <c r="AM110" s="303"/>
      <c r="AN110" s="303"/>
      <c r="AO110" s="303"/>
      <c r="AP110" s="303"/>
      <c r="AQ110" s="303"/>
      <c r="AR110" s="303"/>
    </row>
    <row r="111" spans="1:44" s="350" customFormat="1" ht="23.25" customHeight="1">
      <c r="A111" s="304"/>
      <c r="B111" s="348"/>
      <c r="C111" s="348"/>
      <c r="D111" s="329"/>
      <c r="E111" s="329"/>
      <c r="F111" s="329"/>
      <c r="G111" s="329"/>
      <c r="H111" s="329"/>
      <c r="I111" s="328"/>
      <c r="J111" s="328"/>
      <c r="K111" s="328"/>
      <c r="L111" s="328"/>
      <c r="M111" s="348"/>
      <c r="N111" s="348"/>
      <c r="O111" s="328"/>
      <c r="P111" s="328"/>
      <c r="Q111" s="328"/>
      <c r="R111" s="328"/>
      <c r="S111" s="328"/>
      <c r="T111" s="328"/>
      <c r="U111" s="348"/>
      <c r="V111" s="349"/>
      <c r="W111" s="304"/>
      <c r="X111" s="304"/>
      <c r="Y111" s="304"/>
      <c r="Z111" s="304"/>
      <c r="AA111" s="304"/>
      <c r="AB111" s="304"/>
      <c r="AC111" s="304"/>
      <c r="AD111" s="304"/>
      <c r="AE111" s="304"/>
      <c r="AF111" s="304"/>
      <c r="AG111" s="304"/>
      <c r="AH111" s="304"/>
      <c r="AI111" s="304"/>
      <c r="AJ111" s="307"/>
      <c r="AL111" s="303"/>
      <c r="AM111" s="303"/>
      <c r="AN111" s="303"/>
      <c r="AO111" s="303"/>
      <c r="AP111" s="303"/>
      <c r="AQ111" s="303"/>
      <c r="AR111" s="303"/>
    </row>
    <row r="112" spans="1:44" ht="23.25" customHeight="1">
      <c r="B112" s="304"/>
      <c r="G112" s="329"/>
      <c r="H112" s="329"/>
      <c r="I112" s="348"/>
      <c r="J112" s="348"/>
      <c r="K112" s="348"/>
      <c r="L112" s="348"/>
      <c r="M112" s="326"/>
      <c r="N112" s="326"/>
      <c r="O112" s="328"/>
      <c r="P112" s="328"/>
      <c r="Q112" s="328"/>
      <c r="R112" s="328"/>
      <c r="S112" s="328"/>
      <c r="T112" s="328"/>
      <c r="U112" s="326"/>
      <c r="V112" s="326"/>
    </row>
    <row r="113" spans="2:22" ht="23.25" customHeight="1">
      <c r="B113" s="304"/>
      <c r="G113" s="329"/>
      <c r="H113" s="329"/>
      <c r="I113" s="326"/>
      <c r="J113" s="326"/>
      <c r="K113" s="326"/>
      <c r="L113" s="326"/>
      <c r="M113" s="351"/>
      <c r="N113" s="351"/>
      <c r="O113" s="328"/>
      <c r="P113" s="328"/>
      <c r="Q113" s="328"/>
      <c r="R113" s="328"/>
      <c r="S113" s="328"/>
      <c r="T113" s="328"/>
      <c r="U113" s="351"/>
      <c r="V113" s="351"/>
    </row>
    <row r="114" spans="2:22" ht="23.25" customHeight="1">
      <c r="B114" s="304"/>
      <c r="G114" s="329"/>
      <c r="H114" s="329"/>
      <c r="I114" s="351"/>
      <c r="J114" s="351"/>
      <c r="K114" s="351"/>
      <c r="L114" s="351"/>
      <c r="N114" s="351"/>
      <c r="O114" s="328"/>
      <c r="P114" s="328"/>
      <c r="Q114" s="328"/>
      <c r="R114" s="328"/>
      <c r="S114" s="328"/>
      <c r="T114" s="328"/>
      <c r="U114" s="351"/>
      <c r="V114" s="351"/>
    </row>
    <row r="115" spans="2:22" ht="23.25" customHeight="1">
      <c r="B115" s="304"/>
      <c r="G115" s="329"/>
      <c r="H115" s="348"/>
      <c r="I115" s="303"/>
      <c r="J115" s="352"/>
      <c r="K115" s="352"/>
      <c r="N115" s="351"/>
      <c r="O115" s="328"/>
      <c r="P115" s="328"/>
      <c r="Q115" s="328"/>
      <c r="R115" s="328"/>
      <c r="S115" s="328"/>
      <c r="T115" s="348"/>
      <c r="U115" s="351"/>
      <c r="V115" s="351"/>
    </row>
    <row r="116" spans="2:22" ht="23.25" customHeight="1">
      <c r="B116" s="304"/>
      <c r="G116" s="329"/>
      <c r="H116" s="326"/>
      <c r="I116" s="303"/>
      <c r="J116" s="352"/>
      <c r="K116" s="352"/>
      <c r="N116" s="303"/>
      <c r="O116" s="348"/>
      <c r="P116" s="348"/>
      <c r="Q116" s="348"/>
      <c r="R116" s="348"/>
      <c r="S116" s="348"/>
      <c r="T116" s="326"/>
      <c r="U116" s="303"/>
      <c r="V116" s="303"/>
    </row>
    <row r="117" spans="2:22" ht="23.25" customHeight="1">
      <c r="B117" s="304"/>
      <c r="G117" s="329"/>
      <c r="H117" s="351"/>
      <c r="I117" s="303"/>
      <c r="J117" s="352"/>
      <c r="K117" s="352"/>
      <c r="M117" s="303"/>
      <c r="N117" s="303"/>
      <c r="O117" s="326"/>
      <c r="P117" s="326"/>
      <c r="Q117" s="326"/>
      <c r="R117" s="326"/>
      <c r="S117" s="326"/>
      <c r="T117" s="351"/>
      <c r="U117" s="303"/>
      <c r="V117" s="303"/>
    </row>
    <row r="118" spans="2:22" ht="23.25" customHeight="1">
      <c r="B118" s="304"/>
      <c r="G118" s="329"/>
      <c r="H118" s="349"/>
      <c r="I118" s="303"/>
      <c r="J118" s="303"/>
      <c r="K118" s="303"/>
      <c r="L118" s="303"/>
      <c r="M118" s="303"/>
      <c r="N118" s="303"/>
      <c r="O118" s="351"/>
      <c r="P118" s="351"/>
      <c r="Q118" s="351"/>
      <c r="R118" s="351"/>
      <c r="S118" s="351"/>
      <c r="T118" s="351"/>
      <c r="U118" s="303"/>
      <c r="V118" s="303"/>
    </row>
    <row r="119" spans="2:22" ht="23.25" customHeight="1">
      <c r="B119" s="304"/>
      <c r="G119" s="329"/>
      <c r="H119" s="349"/>
      <c r="I119" s="303"/>
      <c r="J119" s="303"/>
      <c r="K119" s="303"/>
      <c r="L119" s="303"/>
      <c r="M119" s="303"/>
      <c r="N119" s="303"/>
      <c r="O119" s="351"/>
      <c r="P119" s="351"/>
      <c r="Q119" s="351"/>
      <c r="R119" s="351"/>
      <c r="S119" s="351"/>
      <c r="T119" s="351"/>
      <c r="U119" s="303"/>
      <c r="V119" s="303"/>
    </row>
    <row r="120" spans="2:22" ht="23.25" customHeight="1">
      <c r="B120" s="304"/>
      <c r="G120" s="334"/>
      <c r="H120" s="349"/>
      <c r="I120" s="303"/>
      <c r="J120" s="303"/>
      <c r="K120" s="303"/>
      <c r="L120" s="303"/>
      <c r="M120" s="342"/>
      <c r="N120" s="353"/>
      <c r="O120" s="351"/>
      <c r="P120" s="351"/>
      <c r="Q120" s="351"/>
      <c r="R120" s="351"/>
      <c r="S120" s="351"/>
      <c r="T120" s="303"/>
      <c r="U120" s="342"/>
      <c r="V120" s="342"/>
    </row>
    <row r="121" spans="2:22" ht="23.25" customHeight="1">
      <c r="B121" s="304"/>
      <c r="G121" s="323"/>
      <c r="H121" s="303"/>
      <c r="I121" s="353"/>
      <c r="J121" s="353"/>
      <c r="K121" s="342"/>
      <c r="L121" s="342"/>
      <c r="O121" s="303"/>
      <c r="P121" s="303"/>
      <c r="Q121" s="303"/>
      <c r="R121" s="303"/>
      <c r="S121" s="303"/>
      <c r="T121" s="303"/>
    </row>
    <row r="122" spans="2:22" ht="23.25" customHeight="1">
      <c r="B122" s="304"/>
      <c r="G122" s="352"/>
      <c r="H122" s="303"/>
      <c r="O122" s="303"/>
      <c r="P122" s="303"/>
      <c r="Q122" s="303"/>
      <c r="R122" s="303"/>
      <c r="S122" s="303"/>
      <c r="T122" s="303"/>
    </row>
    <row r="123" spans="2:22" ht="23.25" customHeight="1">
      <c r="B123" s="304"/>
      <c r="H123" s="303"/>
      <c r="O123" s="340"/>
      <c r="P123" s="303"/>
      <c r="Q123" s="303"/>
      <c r="R123" s="303"/>
      <c r="S123" s="303"/>
      <c r="T123" s="303"/>
    </row>
    <row r="124" spans="2:22" ht="23.25" customHeight="1">
      <c r="B124" s="304"/>
      <c r="H124" s="353"/>
      <c r="M124" s="303"/>
      <c r="N124" s="303"/>
      <c r="O124" s="303"/>
      <c r="P124" s="303"/>
      <c r="Q124" s="303"/>
      <c r="R124" s="303"/>
      <c r="S124" s="303"/>
      <c r="T124" s="353"/>
      <c r="U124" s="303"/>
      <c r="V124" s="303"/>
    </row>
    <row r="125" spans="2:22" ht="23.25" customHeight="1">
      <c r="B125" s="304"/>
      <c r="I125" s="303"/>
      <c r="J125" s="303"/>
      <c r="K125" s="303"/>
      <c r="L125" s="303"/>
      <c r="M125" s="303"/>
      <c r="N125" s="303"/>
      <c r="O125" s="353"/>
      <c r="P125" s="342"/>
      <c r="Q125" s="353"/>
      <c r="R125" s="353"/>
      <c r="S125" s="353"/>
      <c r="U125" s="303"/>
      <c r="V125" s="303"/>
    </row>
    <row r="126" spans="2:22" ht="23.25" customHeight="1">
      <c r="B126" s="304"/>
      <c r="I126" s="303"/>
      <c r="J126" s="303"/>
      <c r="K126" s="303"/>
      <c r="L126" s="303"/>
      <c r="M126" s="303"/>
      <c r="N126" s="303"/>
      <c r="U126" s="303"/>
      <c r="V126" s="303"/>
    </row>
    <row r="127" spans="2:22" ht="23.25" customHeight="1">
      <c r="B127" s="342"/>
      <c r="C127" s="342"/>
      <c r="D127" s="353"/>
      <c r="E127" s="353"/>
      <c r="F127" s="353"/>
      <c r="I127" s="303"/>
      <c r="J127" s="303"/>
      <c r="K127" s="303"/>
      <c r="L127" s="303"/>
      <c r="M127" s="342"/>
      <c r="N127" s="353"/>
      <c r="U127" s="342"/>
      <c r="V127" s="342"/>
    </row>
    <row r="128" spans="2:22" ht="23.25" customHeight="1">
      <c r="H128" s="303"/>
      <c r="I128" s="353"/>
      <c r="J128" s="353"/>
      <c r="K128" s="342"/>
      <c r="L128" s="342"/>
      <c r="T128" s="303"/>
    </row>
    <row r="129" spans="7:20" ht="23.25" customHeight="1">
      <c r="G129" s="354"/>
      <c r="H129" s="303"/>
      <c r="O129" s="303"/>
      <c r="P129" s="303"/>
      <c r="Q129" s="303"/>
      <c r="R129" s="303"/>
      <c r="S129" s="303"/>
      <c r="T129" s="303"/>
    </row>
    <row r="130" spans="7:20" ht="23.25" customHeight="1">
      <c r="H130" s="303"/>
      <c r="O130" s="303"/>
      <c r="P130" s="303"/>
      <c r="Q130" s="303"/>
      <c r="R130" s="303"/>
      <c r="S130" s="303"/>
      <c r="T130" s="303"/>
    </row>
    <row r="131" spans="7:20" ht="23.25" customHeight="1">
      <c r="H131" s="353"/>
      <c r="O131" s="303"/>
      <c r="P131" s="303"/>
      <c r="Q131" s="303"/>
      <c r="R131" s="303"/>
      <c r="S131" s="303"/>
      <c r="T131" s="353"/>
    </row>
    <row r="132" spans="7:20" ht="23.25" customHeight="1">
      <c r="O132" s="353"/>
      <c r="P132" s="342"/>
      <c r="Q132" s="353"/>
      <c r="R132" s="353"/>
      <c r="S132" s="353"/>
    </row>
    <row r="136" spans="7:20" ht="23.25" customHeight="1">
      <c r="G136" s="354"/>
    </row>
  </sheetData>
  <mergeCells count="33">
    <mergeCell ref="U4:X4"/>
    <mergeCell ref="B1:AK1"/>
    <mergeCell ref="B2:AK2"/>
    <mergeCell ref="B4:T4"/>
    <mergeCell ref="AI6:AI8"/>
    <mergeCell ref="AJ6:AJ8"/>
    <mergeCell ref="AD7:AH7"/>
    <mergeCell ref="N6:N8"/>
    <mergeCell ref="W6:AH6"/>
    <mergeCell ref="AA7:AC7"/>
    <mergeCell ref="X7:Z7"/>
    <mergeCell ref="W7:W8"/>
    <mergeCell ref="S6:U7"/>
    <mergeCell ref="O6:O8"/>
    <mergeCell ref="V6:V8"/>
    <mergeCell ref="L6:L8"/>
    <mergeCell ref="B27:D27"/>
    <mergeCell ref="H6:H8"/>
    <mergeCell ref="I6:I8"/>
    <mergeCell ref="D6:D8"/>
    <mergeCell ref="B9:D9"/>
    <mergeCell ref="E6:F8"/>
    <mergeCell ref="B6:B8"/>
    <mergeCell ref="B20:D20"/>
    <mergeCell ref="C6:C8"/>
    <mergeCell ref="G6:G8"/>
    <mergeCell ref="P6:P8"/>
    <mergeCell ref="AF34:AJ34"/>
    <mergeCell ref="M6:M8"/>
    <mergeCell ref="J6:J8"/>
    <mergeCell ref="Q6:Q8"/>
    <mergeCell ref="R6:R8"/>
    <mergeCell ref="K6:K8"/>
  </mergeCells>
  <printOptions horizontalCentered="1" verticalCentered="1"/>
  <pageMargins left="0" right="0" top="0.24803149599999999" bottom="0.25" header="0.31496062992126" footer="0.31496062992126"/>
  <pageSetup paperSize="5" scale="65" orientation="landscape" r:id="rId1"/>
  <headerFooter>
    <oddFooter>Page &amp;P of &amp;N</oddFooter>
  </headerFooter>
  <colBreaks count="1" manualBreakCount="1">
    <brk id="36" max="31" man="1"/>
  </col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M357"/>
  <sheetViews>
    <sheetView view="pageBreakPreview" topLeftCell="A4" zoomScale="115" zoomScaleSheetLayoutView="115" workbookViewId="0">
      <selection activeCell="H3" sqref="H3"/>
    </sheetView>
  </sheetViews>
  <sheetFormatPr defaultColWidth="9.140625" defaultRowHeight="12.75"/>
  <cols>
    <col min="1" max="1" width="1.140625" style="3" customWidth="1"/>
    <col min="2" max="2" width="3.85546875" style="3" customWidth="1"/>
    <col min="3" max="3" width="7.28515625" style="3" customWidth="1"/>
    <col min="4" max="4" width="22.42578125" style="3" customWidth="1"/>
    <col min="5" max="5" width="8.28515625" style="3" customWidth="1"/>
    <col min="6" max="6" width="8" style="3" customWidth="1"/>
    <col min="7" max="7" width="9.140625" style="3" customWidth="1"/>
    <col min="8" max="8" width="10.28515625" style="3" customWidth="1"/>
    <col min="9" max="9" width="14" style="3" customWidth="1"/>
    <col min="10" max="10" width="11.28515625" style="3" bestFit="1" customWidth="1"/>
    <col min="11" max="16384" width="9.140625" style="3"/>
  </cols>
  <sheetData>
    <row r="1" spans="1:13" ht="18.75">
      <c r="A1" s="831" t="s">
        <v>18</v>
      </c>
      <c r="B1" s="831"/>
      <c r="C1" s="831"/>
      <c r="D1" s="831"/>
      <c r="E1" s="831"/>
      <c r="F1" s="831"/>
      <c r="G1" s="831"/>
      <c r="H1" s="831"/>
    </row>
    <row r="2" spans="1:13" ht="15.75">
      <c r="A2" s="4"/>
      <c r="B2" s="832" t="s">
        <v>87</v>
      </c>
      <c r="C2" s="832"/>
      <c r="D2" s="832"/>
      <c r="E2" s="832"/>
      <c r="F2" s="832"/>
      <c r="G2" s="832"/>
      <c r="H2" s="832"/>
    </row>
    <row r="3" spans="1:13" ht="15.75">
      <c r="A3" s="4"/>
      <c r="B3" s="833" t="s">
        <v>68</v>
      </c>
      <c r="C3" s="833"/>
      <c r="D3" s="5"/>
      <c r="E3" s="5"/>
      <c r="F3" s="5"/>
      <c r="G3" s="6" t="s">
        <v>69</v>
      </c>
      <c r="H3" s="7">
        <v>43584</v>
      </c>
    </row>
    <row r="4" spans="1:13" ht="15.75">
      <c r="A4" s="4"/>
      <c r="B4" s="4"/>
      <c r="C4" s="4"/>
      <c r="D4" s="8"/>
      <c r="E4" s="8"/>
      <c r="F4" s="9"/>
      <c r="G4" s="4"/>
      <c r="H4" s="4"/>
    </row>
    <row r="5" spans="1:13" ht="15">
      <c r="B5" s="834" t="s">
        <v>88</v>
      </c>
      <c r="C5" s="834"/>
      <c r="D5" s="834"/>
      <c r="E5" s="834"/>
      <c r="F5" s="834"/>
      <c r="G5" s="10" t="str">
        <f>'Nov 2020'!U4</f>
        <v>November 2020</v>
      </c>
      <c r="H5" s="11"/>
      <c r="I5" s="12"/>
      <c r="J5" s="13"/>
      <c r="K5" s="13"/>
    </row>
    <row r="6" spans="1:13" ht="15">
      <c r="B6" s="14"/>
      <c r="C6" s="11"/>
      <c r="D6" s="11"/>
      <c r="E6" s="11"/>
      <c r="F6" s="11"/>
      <c r="G6" s="11"/>
      <c r="H6" s="11"/>
      <c r="I6" s="12"/>
      <c r="J6" s="13"/>
      <c r="K6" s="13"/>
    </row>
    <row r="7" spans="1:13" ht="28.5">
      <c r="B7" s="15" t="s">
        <v>74</v>
      </c>
      <c r="C7" s="15" t="s">
        <v>86</v>
      </c>
      <c r="D7" s="16" t="s">
        <v>75</v>
      </c>
      <c r="E7" s="17" t="s">
        <v>19</v>
      </c>
      <c r="F7" s="16"/>
      <c r="G7" s="18" t="s">
        <v>76</v>
      </c>
      <c r="H7" s="18" t="s">
        <v>80</v>
      </c>
      <c r="I7" s="16" t="s">
        <v>77</v>
      </c>
      <c r="J7" s="19"/>
      <c r="K7" s="20"/>
      <c r="L7" s="13"/>
      <c r="M7" s="13"/>
    </row>
    <row r="8" spans="1:13" ht="30">
      <c r="B8" s="21">
        <v>1</v>
      </c>
      <c r="C8" s="22">
        <f>'Nov 2020'!C10</f>
        <v>2509</v>
      </c>
      <c r="D8" s="22" t="str">
        <f>'Nov 2020'!D10</f>
        <v>Shankar Kumar Bhoumik</v>
      </c>
      <c r="E8" s="23" t="str">
        <f>'Nov 2020'!E10</f>
        <v>AGM</v>
      </c>
      <c r="F8" s="23" t="str">
        <f>'Nov 2020'!F10</f>
        <v>BDBL</v>
      </c>
      <c r="G8" s="24">
        <f>'Nov 2020'!G10</f>
        <v>56030</v>
      </c>
      <c r="H8" s="25">
        <v>0.55000000000000004</v>
      </c>
      <c r="I8" s="24">
        <f>'Nov 2020'!T10</f>
        <v>0</v>
      </c>
      <c r="J8" s="26">
        <f>ROUND(G8*H8,0)-I8</f>
        <v>30817</v>
      </c>
      <c r="K8" s="20"/>
      <c r="L8" s="13"/>
      <c r="M8" s="13"/>
    </row>
    <row r="9" spans="1:13" ht="19.5" customHeight="1">
      <c r="B9" s="21">
        <f>B8+1</f>
        <v>2</v>
      </c>
      <c r="C9" s="23" t="e">
        <f>'Nov 2020'!#REF!</f>
        <v>#REF!</v>
      </c>
      <c r="D9" s="22" t="str">
        <f>'Nov 2020'!D11</f>
        <v>Md Nuruzzaman</v>
      </c>
      <c r="E9" s="23" t="e">
        <f>'Nov 2020'!#REF!</f>
        <v>#REF!</v>
      </c>
      <c r="F9" s="23" t="e">
        <f>'Nov 2020'!#REF!</f>
        <v>#REF!</v>
      </c>
      <c r="G9" s="24" t="e">
        <f>'Nov 2020'!#REF!</f>
        <v>#REF!</v>
      </c>
      <c r="H9" s="25">
        <v>0.55000000000000004</v>
      </c>
      <c r="I9" s="24" t="e">
        <f>'Nov 2020'!#REF!</f>
        <v>#REF!</v>
      </c>
      <c r="J9" s="26" t="e">
        <f t="shared" ref="J9:J15" si="0">ROUND(G9*H9,0)-I9</f>
        <v>#REF!</v>
      </c>
      <c r="K9" s="20"/>
      <c r="L9" s="13"/>
      <c r="M9" s="13"/>
    </row>
    <row r="10" spans="1:13" ht="19.5" customHeight="1">
      <c r="B10" s="21">
        <f t="shared" ref="B10:B15" si="1">B9+1</f>
        <v>3</v>
      </c>
      <c r="C10" s="23">
        <f>'Nov 2020'!C14</f>
        <v>1958</v>
      </c>
      <c r="D10" s="22" t="e">
        <f>'Nov 2020'!#REF!</f>
        <v>#REF!</v>
      </c>
      <c r="E10" s="23" t="str">
        <f>'Nov 2020'!E14</f>
        <v>SO</v>
      </c>
      <c r="F10" s="23" t="e">
        <f>'Nov 2020'!#REF!</f>
        <v>#REF!</v>
      </c>
      <c r="G10" s="24">
        <f>'Nov 2020'!I14</f>
        <v>37280</v>
      </c>
      <c r="H10" s="25">
        <v>0.55000000000000004</v>
      </c>
      <c r="I10" s="24">
        <f>'Nov 2020'!T14</f>
        <v>15285</v>
      </c>
      <c r="J10" s="26"/>
      <c r="K10" s="20"/>
      <c r="L10" s="13"/>
      <c r="M10" s="13"/>
    </row>
    <row r="11" spans="1:13" ht="22.5" customHeight="1">
      <c r="B11" s="21">
        <f t="shared" si="1"/>
        <v>4</v>
      </c>
      <c r="C11" s="23">
        <f>'Nov 2020'!C16</f>
        <v>1811</v>
      </c>
      <c r="D11" s="22" t="str">
        <f>'Nov 2020'!D12</f>
        <v>Md Zinnatul Alam</v>
      </c>
      <c r="E11" s="23" t="str">
        <f>'Nov 2020'!E16</f>
        <v>SO</v>
      </c>
      <c r="F11" s="23" t="str">
        <f>'Nov 2020'!F14</f>
        <v>BSB</v>
      </c>
      <c r="G11" s="24">
        <f>'Nov 2020'!I16</f>
        <v>20440</v>
      </c>
      <c r="H11" s="25">
        <v>0.55000000000000004</v>
      </c>
      <c r="I11" s="24">
        <f>'Nov 2020'!T16</f>
        <v>8380</v>
      </c>
      <c r="J11" s="26">
        <f t="shared" si="0"/>
        <v>2862</v>
      </c>
    </row>
    <row r="12" spans="1:13" ht="21" customHeight="1">
      <c r="B12" s="21">
        <f t="shared" si="1"/>
        <v>5</v>
      </c>
      <c r="C12" s="23" t="e">
        <f>'Nov 2020'!#REF!</f>
        <v>#REF!</v>
      </c>
      <c r="D12" s="22" t="str">
        <f>'Nov 2020'!D14</f>
        <v>Md Hamidur Rahman Beg</v>
      </c>
      <c r="E12" s="23" t="e">
        <f>'Nov 2020'!#REF!</f>
        <v>#REF!</v>
      </c>
      <c r="F12" s="23" t="e">
        <f>'Nov 2020'!#REF!</f>
        <v>#REF!</v>
      </c>
      <c r="G12" s="24" t="e">
        <f>'Nov 2020'!#REF!</f>
        <v>#REF!</v>
      </c>
      <c r="H12" s="25">
        <v>0.55000000000000004</v>
      </c>
      <c r="I12" s="24" t="e">
        <f>'Nov 2020'!#REF!</f>
        <v>#REF!</v>
      </c>
      <c r="J12" s="26" t="e">
        <f t="shared" si="0"/>
        <v>#REF!</v>
      </c>
    </row>
    <row r="13" spans="1:13" ht="15">
      <c r="B13" s="21">
        <f t="shared" si="1"/>
        <v>6</v>
      </c>
      <c r="C13" s="23">
        <f>'Nov 2020'!C21</f>
        <v>1952</v>
      </c>
      <c r="D13" s="22" t="e">
        <f>'Nov 2020'!#REF!</f>
        <v>#REF!</v>
      </c>
      <c r="E13" s="23" t="str">
        <f>'Nov 2020'!E21</f>
        <v>SSG-1</v>
      </c>
      <c r="F13" s="23" t="str">
        <f>'Nov 2020'!F21</f>
        <v>BSB</v>
      </c>
      <c r="G13" s="24">
        <f>'Nov 2020'!I21</f>
        <v>19320</v>
      </c>
      <c r="H13" s="25">
        <v>0.55000000000000004</v>
      </c>
      <c r="I13" s="24">
        <f>'Nov 2020'!T21</f>
        <v>7921</v>
      </c>
      <c r="J13" s="26">
        <f t="shared" si="0"/>
        <v>2705</v>
      </c>
    </row>
    <row r="14" spans="1:13" ht="18.75" customHeight="1">
      <c r="B14" s="21">
        <f t="shared" si="1"/>
        <v>7</v>
      </c>
      <c r="C14" s="23">
        <f>'Nov 2020'!C23</f>
        <v>1863</v>
      </c>
      <c r="D14" s="23" t="str">
        <f>'Nov 2020'!D23</f>
        <v>Md.Shahabuddin</v>
      </c>
      <c r="E14" s="23" t="str">
        <f>'Nov 2020'!E23</f>
        <v>SSG-2</v>
      </c>
      <c r="F14" s="23" t="str">
        <f>'Nov 2020'!F23</f>
        <v>BSB</v>
      </c>
      <c r="G14" s="24">
        <f>'Nov 2020'!I23</f>
        <v>19310</v>
      </c>
      <c r="H14" s="25">
        <v>0.55000000000000004</v>
      </c>
      <c r="I14" s="24">
        <f>'Nov 2020'!T23</f>
        <v>7917</v>
      </c>
      <c r="J14" s="26">
        <f t="shared" si="0"/>
        <v>2704</v>
      </c>
    </row>
    <row r="15" spans="1:13" ht="20.25" customHeight="1">
      <c r="B15" s="21">
        <f t="shared" si="1"/>
        <v>8</v>
      </c>
      <c r="C15" s="23">
        <f>'Nov 2020'!C24</f>
        <v>1892</v>
      </c>
      <c r="D15" s="23" t="str">
        <f>'Nov 2020'!D24</f>
        <v xml:space="preserve">Md. Salim Miah </v>
      </c>
      <c r="E15" s="23" t="str">
        <f>'Nov 2020'!E24</f>
        <v>SSG-2</v>
      </c>
      <c r="F15" s="23" t="str">
        <f>'Nov 2020'!F24</f>
        <v>BSB</v>
      </c>
      <c r="G15" s="24">
        <f>'Nov 2020'!I24</f>
        <v>19310</v>
      </c>
      <c r="H15" s="25">
        <v>0.55000000000000004</v>
      </c>
      <c r="I15" s="24">
        <f>'Nov 2020'!T24</f>
        <v>7917</v>
      </c>
      <c r="J15" s="26">
        <f t="shared" si="0"/>
        <v>2704</v>
      </c>
    </row>
    <row r="16" spans="1:13" ht="19.5" customHeight="1">
      <c r="B16" s="830" t="s">
        <v>20</v>
      </c>
      <c r="C16" s="830"/>
      <c r="D16" s="830"/>
      <c r="E16" s="27"/>
      <c r="F16" s="27"/>
      <c r="G16" s="28" t="e">
        <f>SUM(G8:G11)</f>
        <v>#REF!</v>
      </c>
      <c r="H16" s="28"/>
      <c r="I16" s="28" t="e">
        <f>SUM(I8:I15)</f>
        <v>#REF!</v>
      </c>
      <c r="J16" s="29" t="e">
        <f>I16-'Nov 2020'!T27</f>
        <v>#REF!</v>
      </c>
    </row>
    <row r="17" spans="2:10" ht="5.25" hidden="1" customHeight="1">
      <c r="B17" s="11"/>
      <c r="C17" s="11"/>
      <c r="D17" s="11"/>
      <c r="E17" s="30"/>
      <c r="F17" s="11"/>
      <c r="G17" s="11"/>
      <c r="H17" s="11"/>
      <c r="I17" s="11"/>
    </row>
    <row r="18" spans="2:10" ht="15">
      <c r="B18" s="11"/>
      <c r="C18" s="31"/>
      <c r="D18" s="11"/>
      <c r="E18" s="11"/>
      <c r="F18" s="32"/>
      <c r="G18" s="32"/>
      <c r="H18" s="11"/>
    </row>
    <row r="19" spans="2:10" ht="15.75">
      <c r="B19" s="33"/>
      <c r="C19" s="34"/>
      <c r="D19" s="33"/>
      <c r="E19" s="33"/>
      <c r="G19" s="4"/>
      <c r="H19" s="35" t="s">
        <v>9</v>
      </c>
      <c r="I19" s="36" t="e">
        <f>I9+I10+I11+I13+I14+I15</f>
        <v>#REF!</v>
      </c>
      <c r="J19" s="26"/>
    </row>
    <row r="20" spans="2:10" ht="15.75">
      <c r="B20" s="33"/>
      <c r="C20" s="34"/>
      <c r="D20" s="33"/>
      <c r="E20" s="33"/>
      <c r="G20" s="4"/>
      <c r="H20" s="35" t="s">
        <v>57</v>
      </c>
      <c r="I20" s="36" t="e">
        <f>I8+I12</f>
        <v>#REF!</v>
      </c>
      <c r="J20" s="26"/>
    </row>
    <row r="21" spans="2:10">
      <c r="B21" s="33"/>
      <c r="C21" s="34"/>
      <c r="D21" s="33"/>
      <c r="E21" s="33"/>
      <c r="F21" s="37"/>
      <c r="G21" s="33"/>
      <c r="H21" s="38"/>
      <c r="I21" s="26" t="e">
        <f>I16-I19-I20</f>
        <v>#REF!</v>
      </c>
    </row>
    <row r="22" spans="2:10">
      <c r="B22" s="33"/>
      <c r="C22" s="34"/>
      <c r="D22" s="33"/>
      <c r="E22" s="33"/>
      <c r="F22" s="37"/>
      <c r="G22" s="33"/>
      <c r="H22" s="38"/>
    </row>
    <row r="23" spans="2:10">
      <c r="B23" s="33"/>
      <c r="C23" s="34"/>
      <c r="D23" s="33"/>
      <c r="E23" s="39"/>
      <c r="F23" s="37"/>
      <c r="G23" s="33"/>
      <c r="H23" s="38"/>
    </row>
    <row r="24" spans="2:10">
      <c r="B24" s="33"/>
      <c r="C24" s="34"/>
      <c r="D24" s="33"/>
      <c r="E24" s="33"/>
      <c r="F24" s="37"/>
      <c r="G24" s="33"/>
      <c r="H24" s="38"/>
      <c r="I24" s="26"/>
    </row>
    <row r="25" spans="2:10">
      <c r="B25" s="33"/>
      <c r="C25" s="34"/>
      <c r="D25" s="33"/>
      <c r="E25" s="33"/>
      <c r="F25" s="37"/>
      <c r="G25" s="33"/>
      <c r="H25" s="38"/>
    </row>
    <row r="26" spans="2:10">
      <c r="B26" s="33"/>
      <c r="C26" s="34"/>
      <c r="D26" s="33"/>
      <c r="E26" s="33"/>
      <c r="F26" s="37"/>
      <c r="G26" s="33"/>
      <c r="H26" s="38"/>
    </row>
    <row r="27" spans="2:10">
      <c r="H27" s="38"/>
    </row>
    <row r="28" spans="2:10" ht="15.75">
      <c r="B28" s="40" t="s">
        <v>8</v>
      </c>
      <c r="C28" s="40"/>
      <c r="D28" s="4"/>
      <c r="E28" s="40" t="s">
        <v>79</v>
      </c>
      <c r="F28" s="40"/>
      <c r="G28" s="4"/>
      <c r="H28" s="40" t="s">
        <v>157</v>
      </c>
      <c r="I28" s="4"/>
    </row>
    <row r="29" spans="2:10" ht="15.75">
      <c r="B29" s="40"/>
      <c r="C29" s="40"/>
      <c r="D29" s="4"/>
      <c r="E29" s="40"/>
      <c r="F29" s="40"/>
      <c r="G29" s="4"/>
      <c r="H29" s="40"/>
      <c r="I29" s="4"/>
    </row>
    <row r="30" spans="2:10" ht="15.75">
      <c r="B30" s="40"/>
      <c r="C30" s="40"/>
      <c r="D30" s="4"/>
      <c r="E30" s="40"/>
      <c r="F30" s="40"/>
      <c r="G30" s="4"/>
      <c r="H30" s="40"/>
      <c r="I30" s="4"/>
    </row>
    <row r="31" spans="2:10" ht="15.75">
      <c r="B31" s="40"/>
      <c r="C31" s="40"/>
      <c r="D31" s="4"/>
      <c r="E31" s="40"/>
      <c r="F31" s="40"/>
      <c r="G31" s="4"/>
      <c r="H31" s="40"/>
      <c r="I31" s="4"/>
    </row>
    <row r="32" spans="2:10" ht="15.75">
      <c r="B32" s="40"/>
      <c r="C32" s="40"/>
      <c r="D32" s="4"/>
      <c r="E32" s="40"/>
      <c r="F32" s="40"/>
      <c r="G32" s="4"/>
      <c r="H32" s="40"/>
      <c r="I32" s="4"/>
    </row>
    <row r="33" spans="1:9" ht="15.75">
      <c r="B33" s="40"/>
      <c r="C33" s="40"/>
      <c r="D33" s="4"/>
      <c r="E33" s="40"/>
      <c r="F33" s="40"/>
      <c r="G33" s="4"/>
      <c r="H33" s="40"/>
      <c r="I33" s="4"/>
    </row>
    <row r="34" spans="1:9" ht="15.75">
      <c r="B34" s="4"/>
      <c r="C34" s="4"/>
      <c r="D34" s="4"/>
      <c r="E34" s="4"/>
      <c r="F34" s="4"/>
      <c r="G34" s="4"/>
      <c r="H34" s="8"/>
      <c r="I34" s="4"/>
    </row>
    <row r="35" spans="1:9" ht="15.75">
      <c r="B35" s="41" t="s">
        <v>10</v>
      </c>
      <c r="C35" s="41"/>
      <c r="D35" s="4"/>
      <c r="E35" s="4"/>
      <c r="F35" s="4"/>
      <c r="G35" s="4"/>
      <c r="H35" s="4"/>
      <c r="I35" s="4"/>
    </row>
    <row r="36" spans="1:9" ht="15.75">
      <c r="B36" s="41" t="s">
        <v>70</v>
      </c>
      <c r="C36" s="41"/>
      <c r="D36" s="4"/>
      <c r="E36" s="4"/>
      <c r="F36" s="4"/>
      <c r="G36" s="4"/>
      <c r="H36" s="40"/>
      <c r="I36" s="4"/>
    </row>
    <row r="37" spans="1:9" ht="15.75">
      <c r="B37" s="41" t="s">
        <v>71</v>
      </c>
      <c r="C37" s="41"/>
      <c r="D37" s="4"/>
      <c r="E37" s="4"/>
      <c r="F37" s="4"/>
      <c r="G37" s="4"/>
      <c r="H37" s="4"/>
      <c r="I37" s="4"/>
    </row>
    <row r="38" spans="1:9" ht="15.75">
      <c r="B38" s="41" t="s">
        <v>72</v>
      </c>
      <c r="C38" s="41"/>
      <c r="D38" s="4"/>
      <c r="E38" s="4"/>
      <c r="F38" s="4"/>
      <c r="G38" s="4"/>
      <c r="H38" s="4"/>
      <c r="I38" s="4"/>
    </row>
    <row r="39" spans="1:9" ht="15.75">
      <c r="B39" s="41" t="s">
        <v>73</v>
      </c>
      <c r="C39" s="41"/>
      <c r="D39" s="4"/>
      <c r="E39" s="4"/>
      <c r="F39" s="4"/>
      <c r="G39" s="4"/>
      <c r="H39" s="4"/>
      <c r="I39" s="4"/>
    </row>
    <row r="40" spans="1:9">
      <c r="F40" s="33"/>
      <c r="G40" s="33"/>
      <c r="H40" s="33"/>
      <c r="I40" s="33"/>
    </row>
    <row r="41" spans="1:9">
      <c r="F41" s="33"/>
      <c r="G41" s="33"/>
      <c r="H41" s="33"/>
      <c r="I41" s="33"/>
    </row>
    <row r="42" spans="1:9" ht="18.75">
      <c r="A42" s="831" t="s">
        <v>18</v>
      </c>
      <c r="B42" s="831"/>
      <c r="C42" s="831"/>
      <c r="D42" s="831"/>
      <c r="E42" s="831"/>
      <c r="F42" s="831"/>
      <c r="G42" s="831"/>
      <c r="H42" s="831"/>
    </row>
    <row r="43" spans="1:9" ht="15.75">
      <c r="A43" s="4"/>
      <c r="B43" s="832" t="s">
        <v>87</v>
      </c>
      <c r="C43" s="832"/>
      <c r="D43" s="832"/>
      <c r="E43" s="832"/>
      <c r="F43" s="832"/>
      <c r="G43" s="832"/>
      <c r="H43" s="832"/>
    </row>
    <row r="44" spans="1:9" ht="15.75">
      <c r="A44" s="4"/>
      <c r="B44" s="833" t="s">
        <v>68</v>
      </c>
      <c r="C44" s="833"/>
      <c r="D44" s="5"/>
      <c r="E44" s="5"/>
      <c r="F44" s="5"/>
      <c r="G44" s="6" t="s">
        <v>69</v>
      </c>
      <c r="H44" s="7">
        <f>H3</f>
        <v>43584</v>
      </c>
    </row>
    <row r="45" spans="1:9" ht="15.75">
      <c r="A45" s="4"/>
      <c r="B45" s="4"/>
      <c r="C45" s="4"/>
      <c r="D45" s="8"/>
      <c r="E45" s="8"/>
      <c r="F45" s="9"/>
      <c r="G45" s="4"/>
      <c r="H45" s="4"/>
    </row>
    <row r="46" spans="1:9" ht="15" customHeight="1">
      <c r="B46" s="42"/>
      <c r="C46" s="42"/>
      <c r="D46" s="43"/>
      <c r="F46" s="44" t="s">
        <v>81</v>
      </c>
      <c r="G46" s="45" t="str">
        <f>'Nov 2020'!U4</f>
        <v>November 2020</v>
      </c>
      <c r="H46" s="46"/>
      <c r="I46" s="14"/>
    </row>
    <row r="47" spans="1:9" ht="11.25" customHeight="1">
      <c r="B47" s="47"/>
      <c r="C47" s="11"/>
      <c r="D47" s="48"/>
      <c r="E47" s="48" t="s">
        <v>6</v>
      </c>
      <c r="F47" s="49"/>
      <c r="G47" s="11"/>
      <c r="H47" s="11"/>
      <c r="I47" s="11"/>
    </row>
    <row r="48" spans="1:9" ht="31.5" customHeight="1">
      <c r="B48" s="15" t="s">
        <v>74</v>
      </c>
      <c r="C48" s="15" t="s">
        <v>86</v>
      </c>
      <c r="D48" s="16" t="s">
        <v>75</v>
      </c>
      <c r="E48" s="17" t="s">
        <v>19</v>
      </c>
      <c r="F48" s="16"/>
      <c r="G48" s="18" t="s">
        <v>76</v>
      </c>
      <c r="H48" s="18" t="s">
        <v>80</v>
      </c>
      <c r="I48" s="18" t="s">
        <v>77</v>
      </c>
    </row>
    <row r="49" spans="1:10" ht="30">
      <c r="B49" s="50">
        <v>1</v>
      </c>
      <c r="C49" s="22">
        <f>'Nov 2020'!C10</f>
        <v>2509</v>
      </c>
      <c r="D49" s="22" t="str">
        <f>'Nov 2020'!D10</f>
        <v>Shankar Kumar Bhoumik</v>
      </c>
      <c r="E49" s="22" t="str">
        <f>'Nov 2020'!E10</f>
        <v>AGM</v>
      </c>
      <c r="F49" s="22" t="str">
        <f>'Nov 2020'!F10</f>
        <v>BDBL</v>
      </c>
      <c r="G49" s="23">
        <f>'Nov 2020'!I10</f>
        <v>56030</v>
      </c>
      <c r="H49" s="51">
        <v>0.1</v>
      </c>
      <c r="I49" s="23">
        <f>'Nov 2020'!Y10</f>
        <v>5603</v>
      </c>
      <c r="J49" s="26">
        <f>ROUND(G49*H49,0)-I49</f>
        <v>0</v>
      </c>
    </row>
    <row r="50" spans="1:10" ht="15">
      <c r="B50" s="50">
        <f>B49+1</f>
        <v>2</v>
      </c>
      <c r="C50" s="22">
        <f>'Nov 2020'!C11</f>
        <v>2357</v>
      </c>
      <c r="D50" s="22" t="str">
        <f>'Nov 2020'!D11</f>
        <v>Md Nuruzzaman</v>
      </c>
      <c r="E50" s="22" t="str">
        <f>'Nov 2020'!E11</f>
        <v>SPO</v>
      </c>
      <c r="F50" s="22" t="str">
        <f>'Nov 2020'!F11</f>
        <v>BDBL</v>
      </c>
      <c r="G50" s="23">
        <f>'Nov 2020'!I11</f>
        <v>43170</v>
      </c>
      <c r="H50" s="51">
        <v>0.1</v>
      </c>
      <c r="I50" s="23">
        <f>'Nov 2020'!Y11</f>
        <v>4317</v>
      </c>
      <c r="J50" s="26"/>
    </row>
    <row r="51" spans="1:10" ht="18.75" customHeight="1">
      <c r="B51" s="50">
        <f t="shared" ref="B51:B60" si="2">B50+1</f>
        <v>3</v>
      </c>
      <c r="C51" s="22" t="e">
        <f>'Nov 2020'!#REF!</f>
        <v>#REF!</v>
      </c>
      <c r="D51" s="22" t="e">
        <f>'Nov 2020'!#REF!</f>
        <v>#REF!</v>
      </c>
      <c r="E51" s="22" t="e">
        <f>'Nov 2020'!#REF!</f>
        <v>#REF!</v>
      </c>
      <c r="F51" s="22" t="e">
        <f>'Nov 2020'!#REF!</f>
        <v>#REF!</v>
      </c>
      <c r="G51" s="23" t="e">
        <f>'Nov 2020'!#REF!</f>
        <v>#REF!</v>
      </c>
      <c r="H51" s="51">
        <v>0.1</v>
      </c>
      <c r="I51" s="23" t="e">
        <f>'Nov 2020'!#REF!</f>
        <v>#REF!</v>
      </c>
      <c r="J51" s="26" t="e">
        <f t="shared" ref="J51:J60" si="3">ROUND(G51*H51,0)-I51</f>
        <v>#REF!</v>
      </c>
    </row>
    <row r="52" spans="1:10" ht="19.5" customHeight="1">
      <c r="B52" s="50">
        <f t="shared" si="2"/>
        <v>4</v>
      </c>
      <c r="C52" s="22">
        <f>'Nov 2020'!C12</f>
        <v>2385</v>
      </c>
      <c r="D52" s="22" t="str">
        <f>'Nov 2020'!D12</f>
        <v>Md Zinnatul Alam</v>
      </c>
      <c r="E52" s="22" t="str">
        <f>'Nov 2020'!E12</f>
        <v>PO</v>
      </c>
      <c r="F52" s="22" t="str">
        <f>'Nov 2020'!F12</f>
        <v>BDBL</v>
      </c>
      <c r="G52" s="23">
        <f>'Nov 2020'!I12</f>
        <v>41110</v>
      </c>
      <c r="H52" s="51">
        <v>0.25</v>
      </c>
      <c r="I52" s="23">
        <f>'Nov 2020'!Y12</f>
        <v>4111</v>
      </c>
      <c r="J52" s="26">
        <f t="shared" si="3"/>
        <v>6167</v>
      </c>
    </row>
    <row r="53" spans="1:10" ht="18.75" customHeight="1">
      <c r="B53" s="50">
        <f t="shared" si="2"/>
        <v>5</v>
      </c>
      <c r="C53" s="22">
        <f>'Nov 2020'!C14</f>
        <v>1958</v>
      </c>
      <c r="D53" s="22" t="str">
        <f>'Nov 2020'!D14</f>
        <v>Md Hamidur Rahman Beg</v>
      </c>
      <c r="E53" s="22" t="str">
        <f>'Nov 2020'!E14</f>
        <v>SO</v>
      </c>
      <c r="F53" s="22" t="str">
        <f>'Nov 2020'!F14</f>
        <v>BSB</v>
      </c>
      <c r="G53" s="23">
        <f>'Nov 2020'!I14</f>
        <v>37280</v>
      </c>
      <c r="H53" s="51">
        <v>0.1</v>
      </c>
      <c r="I53" s="23">
        <f>'Nov 2020'!Y14</f>
        <v>7456</v>
      </c>
      <c r="J53" s="26">
        <f t="shared" si="3"/>
        <v>-3728</v>
      </c>
    </row>
    <row r="54" spans="1:10" ht="18.75" customHeight="1">
      <c r="B54" s="50">
        <f t="shared" si="2"/>
        <v>6</v>
      </c>
      <c r="C54" s="22" t="e">
        <f>'Nov 2020'!#REF!</f>
        <v>#REF!</v>
      </c>
      <c r="D54" s="22" t="e">
        <f>'Nov 2020'!#REF!</f>
        <v>#REF!</v>
      </c>
      <c r="E54" s="22" t="e">
        <f>'Nov 2020'!#REF!</f>
        <v>#REF!</v>
      </c>
      <c r="F54" s="22" t="e">
        <f>'Nov 2020'!#REF!</f>
        <v>#REF!</v>
      </c>
      <c r="G54" s="23" t="e">
        <f>'Nov 2020'!#REF!</f>
        <v>#REF!</v>
      </c>
      <c r="H54" s="51">
        <v>0.1</v>
      </c>
      <c r="I54" s="23" t="e">
        <f>'Nov 2020'!#REF!</f>
        <v>#REF!</v>
      </c>
      <c r="J54" s="26"/>
    </row>
    <row r="55" spans="1:10" ht="18.75" customHeight="1">
      <c r="B55" s="50">
        <f t="shared" si="2"/>
        <v>7</v>
      </c>
      <c r="C55" s="22">
        <f>'Nov 2020'!C15</f>
        <v>2645</v>
      </c>
      <c r="D55" s="22" t="str">
        <f>'Nov 2020'!D15</f>
        <v>Mst. Ishrat Jahan Aysha</v>
      </c>
      <c r="E55" s="22" t="str">
        <f>'Nov 2020'!E15</f>
        <v>SO</v>
      </c>
      <c r="F55" s="22" t="str">
        <f>'Nov 2020'!F15</f>
        <v>BDBL</v>
      </c>
      <c r="G55" s="23">
        <f>'Nov 2020'!I15</f>
        <v>24260</v>
      </c>
      <c r="H55" s="51">
        <v>0.1</v>
      </c>
      <c r="I55" s="23">
        <f>'Nov 2020'!Y15</f>
        <v>2426</v>
      </c>
      <c r="J55" s="26"/>
    </row>
    <row r="56" spans="1:10" ht="19.5" customHeight="1">
      <c r="B56" s="50">
        <f t="shared" si="2"/>
        <v>8</v>
      </c>
      <c r="C56" s="22">
        <f>'Nov 2020'!C16</f>
        <v>1811</v>
      </c>
      <c r="D56" s="22" t="str">
        <f>'Nov 2020'!D16</f>
        <v>Khadiza Begum</v>
      </c>
      <c r="E56" s="22" t="str">
        <f>'Nov 2020'!E16</f>
        <v>SO</v>
      </c>
      <c r="F56" s="22" t="str">
        <f>'Nov 2020'!F16</f>
        <v>BSB</v>
      </c>
      <c r="G56" s="23">
        <f>'Nov 2020'!I16</f>
        <v>20440</v>
      </c>
      <c r="H56" s="51">
        <v>0.25</v>
      </c>
      <c r="I56" s="23">
        <f>'Nov 2020'!Y16</f>
        <v>5110</v>
      </c>
      <c r="J56" s="26">
        <f t="shared" si="3"/>
        <v>0</v>
      </c>
    </row>
    <row r="57" spans="1:10" ht="21" customHeight="1">
      <c r="B57" s="50">
        <f t="shared" si="2"/>
        <v>9</v>
      </c>
      <c r="C57" s="22" t="e">
        <f>'Nov 2020'!#REF!</f>
        <v>#REF!</v>
      </c>
      <c r="D57" s="22" t="e">
        <f>'Nov 2020'!#REF!</f>
        <v>#REF!</v>
      </c>
      <c r="E57" s="22" t="e">
        <f>'Nov 2020'!#REF!</f>
        <v>#REF!</v>
      </c>
      <c r="F57" s="22" t="e">
        <f>'Nov 2020'!#REF!</f>
        <v>#REF!</v>
      </c>
      <c r="G57" s="23" t="e">
        <f>'Nov 2020'!#REF!</f>
        <v>#REF!</v>
      </c>
      <c r="H57" s="51">
        <v>0.25</v>
      </c>
      <c r="I57" s="23" t="e">
        <f>'Nov 2020'!#REF!</f>
        <v>#REF!</v>
      </c>
      <c r="J57" s="26" t="e">
        <f t="shared" si="3"/>
        <v>#REF!</v>
      </c>
    </row>
    <row r="58" spans="1:10" ht="15">
      <c r="B58" s="50">
        <f t="shared" si="2"/>
        <v>10</v>
      </c>
      <c r="C58" s="22">
        <f>'Nov 2020'!C21</f>
        <v>1952</v>
      </c>
      <c r="D58" s="22" t="str">
        <f>'Nov 2020'!D21</f>
        <v>Md. Abul Kashem Miah</v>
      </c>
      <c r="E58" s="22" t="str">
        <f>'Nov 2020'!E21</f>
        <v>SSG-1</v>
      </c>
      <c r="F58" s="22" t="str">
        <f>'Nov 2020'!F21</f>
        <v>BSB</v>
      </c>
      <c r="G58" s="23">
        <f>'Nov 2020'!I21</f>
        <v>19320</v>
      </c>
      <c r="H58" s="51">
        <v>0.2</v>
      </c>
      <c r="I58" s="23">
        <f>'Nov 2020'!Y21</f>
        <v>3864</v>
      </c>
      <c r="J58" s="26">
        <f t="shared" si="3"/>
        <v>0</v>
      </c>
    </row>
    <row r="59" spans="1:10" ht="18.75" customHeight="1">
      <c r="B59" s="50">
        <f t="shared" si="2"/>
        <v>11</v>
      </c>
      <c r="C59" s="22">
        <f>'Nov 2020'!C23</f>
        <v>1863</v>
      </c>
      <c r="D59" s="22" t="str">
        <f>'Nov 2020'!D23</f>
        <v>Md.Shahabuddin</v>
      </c>
      <c r="E59" s="22" t="str">
        <f>'Nov 2020'!E23</f>
        <v>SSG-2</v>
      </c>
      <c r="F59" s="22" t="str">
        <f>'Nov 2020'!F23</f>
        <v>BSB</v>
      </c>
      <c r="G59" s="23">
        <f>'Nov 2020'!I23</f>
        <v>19310</v>
      </c>
      <c r="H59" s="51">
        <v>0.1</v>
      </c>
      <c r="I59" s="23">
        <f>'Nov 2020'!Y23</f>
        <v>1931</v>
      </c>
      <c r="J59" s="26">
        <f t="shared" si="3"/>
        <v>0</v>
      </c>
    </row>
    <row r="60" spans="1:10" ht="19.5" customHeight="1">
      <c r="B60" s="50">
        <f t="shared" si="2"/>
        <v>12</v>
      </c>
      <c r="C60" s="22">
        <f>'Nov 2020'!C24</f>
        <v>1892</v>
      </c>
      <c r="D60" s="22" t="str">
        <f>'Nov 2020'!D24</f>
        <v xml:space="preserve">Md. Salim Miah </v>
      </c>
      <c r="E60" s="22" t="str">
        <f>'Nov 2020'!E24</f>
        <v>SSG-2</v>
      </c>
      <c r="F60" s="22" t="str">
        <f>'Nov 2020'!F24</f>
        <v>BSB</v>
      </c>
      <c r="G60" s="23">
        <f>'Nov 2020'!I24</f>
        <v>19310</v>
      </c>
      <c r="H60" s="51">
        <v>0.08</v>
      </c>
      <c r="I60" s="23">
        <f>'Nov 2020'!Y24</f>
        <v>1545</v>
      </c>
      <c r="J60" s="26">
        <f t="shared" si="3"/>
        <v>0</v>
      </c>
    </row>
    <row r="61" spans="1:10" ht="14.25">
      <c r="A61" s="1"/>
      <c r="B61" s="830" t="s">
        <v>20</v>
      </c>
      <c r="C61" s="830"/>
      <c r="D61" s="830"/>
      <c r="E61" s="830"/>
      <c r="F61" s="830"/>
      <c r="G61" s="830"/>
      <c r="H61" s="27"/>
      <c r="I61" s="52" t="e">
        <f>SUM(I49:I60)</f>
        <v>#REF!</v>
      </c>
      <c r="J61" s="26" t="e">
        <f>I61-'Nov 2020'!Y27</f>
        <v>#REF!</v>
      </c>
    </row>
    <row r="62" spans="1:10">
      <c r="A62" s="1"/>
      <c r="B62" s="53"/>
      <c r="C62" s="53"/>
      <c r="D62" s="53"/>
      <c r="E62" s="53"/>
      <c r="F62" s="53"/>
      <c r="G62" s="53"/>
      <c r="H62" s="53"/>
      <c r="I62" s="54"/>
    </row>
    <row r="63" spans="1:10">
      <c r="A63" s="1"/>
      <c r="B63" s="53"/>
      <c r="C63" s="53"/>
      <c r="D63" s="53"/>
      <c r="E63" s="53"/>
      <c r="F63" s="53"/>
      <c r="G63" s="53"/>
      <c r="H63" s="53"/>
      <c r="I63" s="54"/>
    </row>
    <row r="64" spans="1:10">
      <c r="A64" s="1"/>
      <c r="B64" s="53"/>
      <c r="C64" s="53"/>
      <c r="D64" s="53"/>
      <c r="E64" s="53"/>
      <c r="F64" s="53"/>
      <c r="G64" s="53"/>
      <c r="H64" s="53"/>
      <c r="I64" s="54"/>
    </row>
    <row r="65" spans="1:9">
      <c r="A65" s="1"/>
      <c r="B65" s="53"/>
      <c r="C65" s="53"/>
      <c r="D65" s="53"/>
      <c r="E65" s="53"/>
      <c r="F65" s="53"/>
      <c r="G65" s="53"/>
      <c r="H65" s="53"/>
      <c r="I65" s="54"/>
    </row>
    <row r="66" spans="1:9">
      <c r="A66" s="1"/>
      <c r="B66" s="1"/>
      <c r="C66" s="1"/>
      <c r="D66" s="1"/>
      <c r="E66" s="56"/>
      <c r="F66" s="1"/>
      <c r="G66" s="1"/>
      <c r="H66" s="1"/>
    </row>
    <row r="67" spans="1:9">
      <c r="A67" s="1"/>
      <c r="B67" s="1"/>
      <c r="C67" s="1"/>
      <c r="D67" s="1"/>
      <c r="E67" s="56"/>
      <c r="F67" s="1"/>
      <c r="G67" s="1"/>
      <c r="H67" s="1"/>
    </row>
    <row r="68" spans="1:9">
      <c r="A68" s="1"/>
      <c r="B68" s="1"/>
      <c r="C68" s="1"/>
      <c r="D68" s="1"/>
      <c r="E68" s="56"/>
      <c r="F68" s="1"/>
      <c r="G68" s="1"/>
      <c r="H68" s="1"/>
    </row>
    <row r="69" spans="1:9" ht="15.75">
      <c r="A69" s="1"/>
      <c r="B69" s="40" t="s">
        <v>8</v>
      </c>
      <c r="C69" s="40"/>
      <c r="D69" s="4"/>
      <c r="E69" s="40" t="s">
        <v>79</v>
      </c>
      <c r="F69" s="40"/>
      <c r="G69" s="4"/>
      <c r="H69" s="40" t="s">
        <v>157</v>
      </c>
      <c r="I69" s="4"/>
    </row>
    <row r="70" spans="1:9" ht="15.75">
      <c r="B70" s="40"/>
      <c r="C70" s="40"/>
      <c r="D70" s="4"/>
      <c r="E70" s="40"/>
      <c r="F70" s="40"/>
      <c r="G70" s="4"/>
      <c r="H70" s="40"/>
      <c r="I70" s="4"/>
    </row>
    <row r="71" spans="1:9" ht="14.25" customHeight="1">
      <c r="B71" s="40"/>
      <c r="C71" s="40"/>
      <c r="D71" s="4"/>
      <c r="E71" s="40"/>
      <c r="F71" s="40"/>
      <c r="G71" s="4"/>
      <c r="H71" s="40"/>
      <c r="I71" s="4"/>
    </row>
    <row r="72" spans="1:9" ht="14.25" customHeight="1">
      <c r="B72" s="40"/>
      <c r="C72" s="40"/>
      <c r="D72" s="4"/>
      <c r="E72" s="40"/>
      <c r="F72" s="40"/>
      <c r="G72" s="4"/>
      <c r="H72" s="40"/>
      <c r="I72" s="4"/>
    </row>
    <row r="73" spans="1:9" ht="14.25" customHeight="1">
      <c r="B73" s="41" t="s">
        <v>10</v>
      </c>
      <c r="C73" s="4"/>
      <c r="D73" s="4"/>
      <c r="E73" s="4"/>
      <c r="F73" s="4"/>
      <c r="G73" s="4"/>
      <c r="H73" s="4"/>
      <c r="I73" s="4"/>
    </row>
    <row r="74" spans="1:9" ht="14.25" customHeight="1">
      <c r="B74" s="41" t="s">
        <v>70</v>
      </c>
      <c r="C74" s="4"/>
      <c r="D74" s="4"/>
      <c r="E74" s="4"/>
      <c r="F74" s="4"/>
      <c r="G74" s="4"/>
      <c r="H74" s="40"/>
      <c r="I74" s="4"/>
    </row>
    <row r="75" spans="1:9" ht="14.25" customHeight="1">
      <c r="B75" s="41" t="s">
        <v>71</v>
      </c>
      <c r="C75" s="4"/>
      <c r="D75" s="4"/>
      <c r="E75" s="4"/>
      <c r="F75" s="4"/>
      <c r="G75" s="4"/>
      <c r="H75" s="4"/>
      <c r="I75" s="4"/>
    </row>
    <row r="76" spans="1:9" ht="14.25" customHeight="1">
      <c r="B76" s="41" t="s">
        <v>72</v>
      </c>
      <c r="C76" s="4"/>
      <c r="D76" s="4"/>
      <c r="E76" s="4"/>
      <c r="F76" s="4"/>
      <c r="G76" s="4"/>
      <c r="H76" s="4"/>
      <c r="I76" s="4"/>
    </row>
    <row r="77" spans="1:9" ht="14.25" customHeight="1">
      <c r="B77" s="41" t="s">
        <v>73</v>
      </c>
      <c r="C77" s="4"/>
      <c r="D77" s="4"/>
      <c r="E77" s="4"/>
      <c r="F77" s="4"/>
      <c r="G77" s="4"/>
      <c r="H77" s="4"/>
      <c r="I77" s="4"/>
    </row>
    <row r="78" spans="1:9" ht="14.25" customHeight="1">
      <c r="F78" s="33"/>
      <c r="G78" s="33"/>
      <c r="H78" s="33"/>
    </row>
    <row r="79" spans="1:9" ht="14.25" customHeight="1">
      <c r="F79" s="33"/>
      <c r="G79" s="33"/>
      <c r="H79" s="33"/>
    </row>
    <row r="80" spans="1:9" ht="20.25">
      <c r="A80" s="831" t="s">
        <v>18</v>
      </c>
      <c r="B80" s="831"/>
      <c r="C80" s="831"/>
      <c r="D80" s="831"/>
      <c r="E80" s="831"/>
      <c r="F80" s="831"/>
      <c r="G80" s="831"/>
      <c r="H80" s="831"/>
      <c r="I80" s="57"/>
    </row>
    <row r="81" spans="1:10" ht="15.75">
      <c r="A81" s="4"/>
      <c r="B81" s="832" t="s">
        <v>87</v>
      </c>
      <c r="C81" s="832"/>
      <c r="D81" s="832"/>
      <c r="E81" s="832"/>
      <c r="F81" s="832"/>
      <c r="G81" s="832"/>
      <c r="H81" s="832"/>
      <c r="I81" s="58"/>
    </row>
    <row r="82" spans="1:10" ht="14.25">
      <c r="B82" s="841" t="s">
        <v>68</v>
      </c>
      <c r="C82" s="841"/>
      <c r="D82" s="59"/>
      <c r="E82" s="59"/>
      <c r="F82" s="59"/>
      <c r="G82" s="60" t="s">
        <v>69</v>
      </c>
      <c r="H82" s="61">
        <f>H3</f>
        <v>43584</v>
      </c>
    </row>
    <row r="83" spans="1:10">
      <c r="D83" s="13"/>
      <c r="E83" s="13"/>
      <c r="F83" s="26"/>
    </row>
    <row r="84" spans="1:10" ht="15">
      <c r="B84" s="42"/>
      <c r="C84" s="42"/>
      <c r="D84" s="11"/>
      <c r="F84" s="44" t="s">
        <v>82</v>
      </c>
      <c r="G84" s="45" t="str">
        <f>'Nov 2020'!U4</f>
        <v>November 2020</v>
      </c>
      <c r="H84" s="46"/>
      <c r="I84" s="11"/>
    </row>
    <row r="85" spans="1:10" ht="4.5" hidden="1" customHeight="1">
      <c r="B85" s="11"/>
      <c r="C85" s="48"/>
      <c r="D85" s="48"/>
      <c r="E85" s="49"/>
      <c r="F85" s="11"/>
      <c r="G85" s="11"/>
      <c r="H85" s="11"/>
      <c r="I85" s="11"/>
    </row>
    <row r="86" spans="1:10" ht="15">
      <c r="B86" s="11"/>
      <c r="C86" s="11"/>
      <c r="D86" s="11"/>
      <c r="E86" s="11"/>
      <c r="F86" s="11"/>
      <c r="G86" s="11"/>
      <c r="H86" s="11"/>
      <c r="I86" s="11"/>
    </row>
    <row r="87" spans="1:10" ht="34.5" customHeight="1">
      <c r="B87" s="15" t="s">
        <v>74</v>
      </c>
      <c r="C87" s="15" t="s">
        <v>86</v>
      </c>
      <c r="D87" s="16" t="s">
        <v>75</v>
      </c>
      <c r="E87" s="17" t="s">
        <v>19</v>
      </c>
      <c r="F87" s="16"/>
      <c r="G87" s="18" t="s">
        <v>76</v>
      </c>
      <c r="H87" s="18" t="s">
        <v>80</v>
      </c>
      <c r="I87" s="18" t="s">
        <v>77</v>
      </c>
    </row>
    <row r="88" spans="1:10" ht="4.5" hidden="1" customHeight="1">
      <c r="B88" s="62">
        <v>1</v>
      </c>
      <c r="C88" s="62"/>
      <c r="D88" s="63" t="str">
        <f>'[1]Salary-1'!D54</f>
        <v>Bank Contribution To Employees Gratuity Fund A/C (671A)</v>
      </c>
      <c r="E88" s="63">
        <f>'[1]Salary-1'!E54</f>
        <v>0</v>
      </c>
      <c r="F88" s="63">
        <f>'[1]Salary-1'!I54</f>
        <v>0</v>
      </c>
      <c r="G88" s="64">
        <v>0.1</v>
      </c>
      <c r="H88" s="63">
        <f>'[1]Salary-1'!U54</f>
        <v>0</v>
      </c>
      <c r="I88" s="65" t="s">
        <v>78</v>
      </c>
      <c r="J88" s="26">
        <f>ROUND(F88*G88,0)-H88</f>
        <v>0</v>
      </c>
    </row>
    <row r="89" spans="1:10" ht="24.6" customHeight="1">
      <c r="B89" s="66">
        <v>1</v>
      </c>
      <c r="C89" s="67">
        <f>'Nov 2020'!C11</f>
        <v>2357</v>
      </c>
      <c r="D89" s="22" t="str">
        <f>'Nov 2020'!D11</f>
        <v>Md Nuruzzaman</v>
      </c>
      <c r="E89" s="22" t="e">
        <f>'Nov 2020'!#REF!</f>
        <v>#REF!</v>
      </c>
      <c r="F89" s="22" t="str">
        <f>'Nov 2020'!F11</f>
        <v>BDBL</v>
      </c>
      <c r="G89" s="23">
        <f>'Nov 2020'!G11</f>
        <v>43170</v>
      </c>
      <c r="H89" s="68">
        <v>0.1</v>
      </c>
      <c r="I89" s="23">
        <f>'Nov 2020'!U11</f>
        <v>4317</v>
      </c>
      <c r="J89" s="26"/>
    </row>
    <row r="90" spans="1:10" ht="25.5" customHeight="1">
      <c r="B90" s="62">
        <f>B89+1</f>
        <v>2</v>
      </c>
      <c r="C90" s="67" t="e">
        <f>'Nov 2020'!#REF!</f>
        <v>#REF!</v>
      </c>
      <c r="D90" s="22" t="e">
        <f>'Nov 2020'!#REF!</f>
        <v>#REF!</v>
      </c>
      <c r="E90" s="22" t="e">
        <f>'Nov 2020'!#REF!</f>
        <v>#REF!</v>
      </c>
      <c r="F90" s="22" t="e">
        <f>'Nov 2020'!#REF!</f>
        <v>#REF!</v>
      </c>
      <c r="G90" s="23" t="e">
        <f>'Nov 2020'!#REF!</f>
        <v>#REF!</v>
      </c>
      <c r="H90" s="68">
        <v>0.1</v>
      </c>
      <c r="I90" s="23" t="e">
        <f>'Nov 2020'!#REF!</f>
        <v>#REF!</v>
      </c>
      <c r="J90" s="26" t="e">
        <f>ROUND(G90*H90,0)-I90</f>
        <v>#REF!</v>
      </c>
    </row>
    <row r="91" spans="1:10" ht="27" customHeight="1">
      <c r="B91" s="62">
        <f t="shared" ref="B91:B92" si="4">B90+1</f>
        <v>3</v>
      </c>
      <c r="C91" s="67">
        <f>'Nov 2020'!C12</f>
        <v>2385</v>
      </c>
      <c r="D91" s="22" t="str">
        <f>'Nov 2020'!D12</f>
        <v>Md Zinnatul Alam</v>
      </c>
      <c r="E91" s="22" t="str">
        <f>'Nov 2020'!E12</f>
        <v>PO</v>
      </c>
      <c r="F91" s="22" t="str">
        <f>'Nov 2020'!F12</f>
        <v>BDBL</v>
      </c>
      <c r="G91" s="23">
        <f>'Nov 2020'!G12</f>
        <v>41110</v>
      </c>
      <c r="H91" s="68">
        <v>0.1</v>
      </c>
      <c r="I91" s="23">
        <f>'Nov 2020'!U12</f>
        <v>4111</v>
      </c>
      <c r="J91" s="26">
        <f>ROUND(G91*H91,0)-I91</f>
        <v>0</v>
      </c>
    </row>
    <row r="92" spans="1:10" ht="27" customHeight="1">
      <c r="B92" s="62">
        <f t="shared" si="4"/>
        <v>4</v>
      </c>
      <c r="C92" s="67" t="e">
        <f>'Nov 2020'!#REF!</f>
        <v>#REF!</v>
      </c>
      <c r="D92" s="22" t="e">
        <f>'Nov 2020'!#REF!</f>
        <v>#REF!</v>
      </c>
      <c r="E92" s="22" t="e">
        <f>'Nov 2020'!#REF!</f>
        <v>#REF!</v>
      </c>
      <c r="F92" s="22" t="e">
        <f>'Nov 2020'!#REF!</f>
        <v>#REF!</v>
      </c>
      <c r="G92" s="23" t="e">
        <f>'Nov 2020'!#REF!</f>
        <v>#REF!</v>
      </c>
      <c r="H92" s="68">
        <v>0.1</v>
      </c>
      <c r="I92" s="23" t="e">
        <f>'Nov 2020'!#REF!</f>
        <v>#REF!</v>
      </c>
      <c r="J92" s="26"/>
    </row>
    <row r="93" spans="1:10" ht="24" customHeight="1">
      <c r="B93" s="830" t="s">
        <v>20</v>
      </c>
      <c r="C93" s="830"/>
      <c r="D93" s="830"/>
      <c r="E93" s="830"/>
      <c r="F93" s="830"/>
      <c r="G93" s="830"/>
      <c r="H93" s="27"/>
      <c r="I93" s="52" t="e">
        <f>SUM(I89:I92)</f>
        <v>#REF!</v>
      </c>
      <c r="J93" s="26" t="e">
        <f>I93-'Nov 2020'!U27</f>
        <v>#REF!</v>
      </c>
    </row>
    <row r="94" spans="1:10" ht="12.2" customHeight="1"/>
    <row r="95" spans="1:10" ht="12.2" customHeight="1"/>
    <row r="96" spans="1:10" ht="12.2" customHeight="1"/>
    <row r="97" spans="2:8" ht="12.2" customHeight="1"/>
    <row r="98" spans="2:8" ht="12.2" customHeight="1"/>
    <row r="99" spans="2:8" ht="12.2" customHeight="1"/>
    <row r="100" spans="2:8" ht="12.2" customHeight="1"/>
    <row r="101" spans="2:8" ht="12.2" customHeight="1">
      <c r="B101" s="40" t="s">
        <v>8</v>
      </c>
      <c r="C101" s="40"/>
      <c r="D101" s="4"/>
      <c r="E101" s="40" t="s">
        <v>79</v>
      </c>
      <c r="F101" s="40"/>
      <c r="G101" s="4"/>
      <c r="H101" s="40" t="s">
        <v>157</v>
      </c>
    </row>
    <row r="102" spans="2:8" ht="12.2" customHeight="1">
      <c r="B102" s="40"/>
      <c r="C102" s="40"/>
      <c r="D102" s="4"/>
      <c r="E102" s="40"/>
      <c r="F102" s="40"/>
      <c r="G102" s="4"/>
      <c r="H102" s="40"/>
    </row>
    <row r="103" spans="2:8" ht="12.2" customHeight="1">
      <c r="B103" s="40"/>
      <c r="C103" s="40"/>
      <c r="D103" s="4"/>
      <c r="E103" s="40"/>
      <c r="F103" s="40"/>
      <c r="G103" s="4"/>
      <c r="H103" s="40"/>
    </row>
    <row r="104" spans="2:8" ht="12.2" customHeight="1">
      <c r="B104" s="40"/>
      <c r="C104" s="40"/>
      <c r="D104" s="4"/>
      <c r="E104" s="40"/>
      <c r="F104" s="40"/>
      <c r="G104" s="4"/>
      <c r="H104" s="40"/>
    </row>
    <row r="105" spans="2:8" ht="12.2" customHeight="1">
      <c r="B105" s="40"/>
      <c r="C105" s="40"/>
      <c r="D105" s="4"/>
      <c r="E105" s="40"/>
      <c r="F105" s="40"/>
      <c r="G105" s="4"/>
      <c r="H105" s="40"/>
    </row>
    <row r="106" spans="2:8" ht="12.2" customHeight="1">
      <c r="B106" s="4"/>
      <c r="C106" s="4"/>
      <c r="D106" s="4"/>
      <c r="E106" s="4"/>
      <c r="F106" s="4"/>
      <c r="G106" s="4"/>
      <c r="H106" s="8"/>
    </row>
    <row r="107" spans="2:8" ht="12.2" customHeight="1">
      <c r="B107" s="41" t="s">
        <v>10</v>
      </c>
      <c r="C107" s="4"/>
      <c r="D107" s="4"/>
      <c r="E107" s="4"/>
      <c r="F107" s="4"/>
      <c r="G107" s="4"/>
      <c r="H107" s="4"/>
    </row>
    <row r="108" spans="2:8" ht="12.2" customHeight="1">
      <c r="B108" s="41" t="s">
        <v>70</v>
      </c>
      <c r="C108" s="4"/>
      <c r="D108" s="4"/>
      <c r="E108" s="4"/>
      <c r="F108" s="4"/>
      <c r="G108" s="4"/>
      <c r="H108" s="40"/>
    </row>
    <row r="109" spans="2:8" ht="12.2" customHeight="1">
      <c r="B109" s="41" t="s">
        <v>71</v>
      </c>
      <c r="C109" s="4"/>
      <c r="D109" s="4"/>
      <c r="E109" s="4"/>
      <c r="F109" s="4"/>
      <c r="G109" s="4"/>
      <c r="H109" s="4"/>
    </row>
    <row r="110" spans="2:8" ht="12.2" customHeight="1">
      <c r="B110" s="41" t="s">
        <v>72</v>
      </c>
      <c r="C110" s="4"/>
      <c r="D110" s="4"/>
      <c r="E110" s="4"/>
      <c r="F110" s="4"/>
      <c r="G110" s="4"/>
      <c r="H110" s="4"/>
    </row>
    <row r="111" spans="2:8" ht="4.5" hidden="1" customHeight="1">
      <c r="B111" s="4" t="s">
        <v>73</v>
      </c>
      <c r="C111" s="4"/>
      <c r="D111" s="4"/>
      <c r="E111" s="4"/>
      <c r="F111" s="4"/>
      <c r="G111" s="4"/>
      <c r="H111" s="4"/>
    </row>
    <row r="112" spans="2:8" ht="12.2" customHeight="1">
      <c r="B112" s="4"/>
      <c r="C112" s="4"/>
      <c r="D112" s="4"/>
      <c r="E112" s="4"/>
      <c r="F112" s="4"/>
      <c r="G112" s="4"/>
      <c r="H112" s="4"/>
    </row>
    <row r="113" spans="1:10" ht="12.2" customHeight="1"/>
    <row r="114" spans="1:10" ht="12.2" customHeight="1"/>
    <row r="115" spans="1:10" ht="20.25">
      <c r="B115" s="840" t="s">
        <v>18</v>
      </c>
      <c r="C115" s="840"/>
      <c r="D115" s="840"/>
      <c r="E115" s="840"/>
      <c r="F115" s="840"/>
      <c r="G115" s="840"/>
      <c r="H115" s="840"/>
      <c r="I115" s="840"/>
    </row>
    <row r="116" spans="1:10" ht="16.5" customHeight="1">
      <c r="A116" s="4"/>
      <c r="B116" s="832" t="s">
        <v>87</v>
      </c>
      <c r="C116" s="832"/>
      <c r="D116" s="832"/>
      <c r="E116" s="832"/>
      <c r="F116" s="832"/>
      <c r="G116" s="832"/>
      <c r="H116" s="832"/>
      <c r="I116" s="832"/>
    </row>
    <row r="117" spans="1:10" ht="16.5" customHeight="1">
      <c r="A117" s="4"/>
      <c r="B117" s="833" t="s">
        <v>68</v>
      </c>
      <c r="C117" s="833"/>
      <c r="D117" s="5"/>
      <c r="E117" s="5"/>
      <c r="F117" s="5"/>
      <c r="G117" s="6" t="s">
        <v>69</v>
      </c>
      <c r="H117" s="69">
        <f>H3</f>
        <v>43584</v>
      </c>
    </row>
    <row r="118" spans="1:10" ht="12.2" customHeight="1">
      <c r="A118" s="4"/>
      <c r="B118" s="4"/>
      <c r="C118" s="4"/>
      <c r="D118" s="8"/>
      <c r="E118" s="8"/>
      <c r="F118" s="9"/>
      <c r="G118" s="4"/>
      <c r="H118" s="4"/>
    </row>
    <row r="119" spans="1:10" ht="15.75">
      <c r="A119" s="4"/>
      <c r="B119" s="70"/>
      <c r="C119" s="70"/>
      <c r="D119" s="4"/>
      <c r="F119" s="71" t="s">
        <v>83</v>
      </c>
      <c r="G119" s="72" t="str">
        <f>'Nov 2020'!U4</f>
        <v>November 2020</v>
      </c>
      <c r="H119" s="73"/>
    </row>
    <row r="120" spans="1:10" ht="12.2" customHeight="1">
      <c r="C120" s="13"/>
      <c r="D120" s="13"/>
      <c r="E120" s="26"/>
    </row>
    <row r="121" spans="1:10" ht="5.25" hidden="1" customHeight="1"/>
    <row r="122" spans="1:10" ht="37.5" customHeight="1">
      <c r="B122" s="15" t="s">
        <v>74</v>
      </c>
      <c r="C122" s="15" t="s">
        <v>86</v>
      </c>
      <c r="D122" s="16" t="s">
        <v>75</v>
      </c>
      <c r="E122" s="17" t="s">
        <v>19</v>
      </c>
      <c r="F122" s="16"/>
      <c r="G122" s="18" t="s">
        <v>76</v>
      </c>
      <c r="H122" s="18" t="s">
        <v>80</v>
      </c>
      <c r="I122" s="18" t="s">
        <v>77</v>
      </c>
    </row>
    <row r="123" spans="1:10" ht="37.5" customHeight="1">
      <c r="B123" s="74">
        <v>1</v>
      </c>
      <c r="C123" s="23">
        <f>'Nov 2020'!C11</f>
        <v>2357</v>
      </c>
      <c r="D123" s="23" t="str">
        <f>'Nov 2020'!D11</f>
        <v>Md Nuruzzaman</v>
      </c>
      <c r="E123" s="22" t="e">
        <f>'Nov 2020'!#REF!</f>
        <v>#REF!</v>
      </c>
      <c r="F123" s="23" t="str">
        <f>'Nov 2020'!F11</f>
        <v>BDBL</v>
      </c>
      <c r="G123" s="75">
        <f>'Nov 2020'!G11</f>
        <v>43170</v>
      </c>
      <c r="H123" s="68">
        <v>0.1</v>
      </c>
      <c r="I123" s="23">
        <f>'Nov 2020'!U11</f>
        <v>4317</v>
      </c>
    </row>
    <row r="124" spans="1:10" ht="26.25" customHeight="1">
      <c r="B124" s="74">
        <f>B123+1</f>
        <v>2</v>
      </c>
      <c r="C124" s="23" t="e">
        <f>'Nov 2020'!#REF!</f>
        <v>#REF!</v>
      </c>
      <c r="D124" s="23" t="e">
        <f>'Nov 2020'!#REF!</f>
        <v>#REF!</v>
      </c>
      <c r="E124" s="22" t="e">
        <f>'Nov 2020'!#REF!</f>
        <v>#REF!</v>
      </c>
      <c r="F124" s="23" t="e">
        <f>'Nov 2020'!#REF!</f>
        <v>#REF!</v>
      </c>
      <c r="G124" s="75" t="e">
        <f>'Nov 2020'!#REF!</f>
        <v>#REF!</v>
      </c>
      <c r="H124" s="68">
        <v>0.1</v>
      </c>
      <c r="I124" s="23" t="e">
        <f>'Nov 2020'!#REF!</f>
        <v>#REF!</v>
      </c>
      <c r="J124" s="26" t="e">
        <f>ROUND(G124*H124,0)-I124</f>
        <v>#REF!</v>
      </c>
    </row>
    <row r="125" spans="1:10" ht="27" customHeight="1">
      <c r="B125" s="74">
        <f t="shared" ref="B125:B126" si="5">B124+1</f>
        <v>3</v>
      </c>
      <c r="C125" s="23">
        <f>'Nov 2020'!C12</f>
        <v>2385</v>
      </c>
      <c r="D125" s="23" t="str">
        <f>'Nov 2020'!D12</f>
        <v>Md Zinnatul Alam</v>
      </c>
      <c r="E125" s="22" t="str">
        <f>'Nov 2020'!E12</f>
        <v>PO</v>
      </c>
      <c r="F125" s="23" t="str">
        <f>'Nov 2020'!F12</f>
        <v>BDBL</v>
      </c>
      <c r="G125" s="75">
        <f>'Nov 2020'!I12</f>
        <v>41110</v>
      </c>
      <c r="H125" s="68">
        <v>0.1</v>
      </c>
      <c r="I125" s="23">
        <f>'Nov 2020'!S12</f>
        <v>4111</v>
      </c>
      <c r="J125" s="26">
        <f>ROUND(G125*H125,0)-I125</f>
        <v>0</v>
      </c>
    </row>
    <row r="126" spans="1:10" ht="27" customHeight="1">
      <c r="B126" s="74">
        <f t="shared" si="5"/>
        <v>4</v>
      </c>
      <c r="C126" s="23">
        <v>2597</v>
      </c>
      <c r="D126" s="23" t="s">
        <v>180</v>
      </c>
      <c r="E126" s="22" t="s">
        <v>181</v>
      </c>
      <c r="F126" s="23" t="str">
        <f>F125</f>
        <v>BDBL</v>
      </c>
      <c r="G126" s="75" t="e">
        <f>'Nov 2020'!#REF!</f>
        <v>#REF!</v>
      </c>
      <c r="H126" s="68">
        <v>0.1</v>
      </c>
      <c r="I126" s="23" t="e">
        <f>'Nov 2020'!#REF!</f>
        <v>#REF!</v>
      </c>
      <c r="J126" s="26"/>
    </row>
    <row r="127" spans="1:10" ht="22.5" customHeight="1">
      <c r="B127" s="835" t="s">
        <v>20</v>
      </c>
      <c r="C127" s="835"/>
      <c r="D127" s="835"/>
      <c r="E127" s="835"/>
      <c r="F127" s="835"/>
      <c r="G127" s="835"/>
      <c r="H127" s="16"/>
      <c r="I127" s="76" t="e">
        <f>SUM(I123:I126)</f>
        <v>#REF!</v>
      </c>
      <c r="J127" s="26" t="e">
        <f>I127-'Nov 2020'!S27</f>
        <v>#REF!</v>
      </c>
    </row>
    <row r="132" spans="2:8" ht="15.75">
      <c r="B132" s="40" t="s">
        <v>8</v>
      </c>
      <c r="C132" s="40"/>
      <c r="D132" s="4"/>
      <c r="E132" s="40" t="s">
        <v>79</v>
      </c>
      <c r="F132" s="40"/>
      <c r="G132" s="4"/>
      <c r="H132" s="40" t="s">
        <v>157</v>
      </c>
    </row>
    <row r="133" spans="2:8">
      <c r="B133" s="77"/>
      <c r="C133" s="77"/>
      <c r="E133" s="77"/>
      <c r="F133" s="77"/>
      <c r="H133" s="77"/>
    </row>
    <row r="134" spans="2:8">
      <c r="B134" s="77"/>
      <c r="C134" s="77"/>
      <c r="E134" s="77"/>
      <c r="F134" s="77"/>
      <c r="H134" s="77"/>
    </row>
    <row r="135" spans="2:8">
      <c r="B135" s="77"/>
      <c r="C135" s="77"/>
      <c r="E135" s="77"/>
      <c r="F135" s="77"/>
      <c r="H135" s="77"/>
    </row>
    <row r="136" spans="2:8">
      <c r="B136" s="77"/>
      <c r="C136" s="77"/>
      <c r="E136" s="77"/>
      <c r="F136" s="77"/>
      <c r="H136" s="77"/>
    </row>
    <row r="137" spans="2:8">
      <c r="B137" s="77"/>
      <c r="C137" s="77"/>
      <c r="E137" s="77"/>
      <c r="F137" s="77"/>
      <c r="H137" s="77"/>
    </row>
    <row r="138" spans="2:8">
      <c r="B138" s="77"/>
      <c r="C138" s="77"/>
      <c r="E138" s="77"/>
      <c r="F138" s="77"/>
      <c r="H138" s="77"/>
    </row>
    <row r="139" spans="2:8">
      <c r="B139" s="77"/>
      <c r="C139" s="77"/>
      <c r="E139" s="77"/>
      <c r="F139" s="77"/>
      <c r="H139" s="77"/>
    </row>
    <row r="140" spans="2:8">
      <c r="B140" s="77"/>
      <c r="C140" s="77"/>
      <c r="E140" s="77"/>
      <c r="F140" s="77"/>
      <c r="H140" s="77"/>
    </row>
    <row r="141" spans="2:8">
      <c r="B141" s="77"/>
      <c r="C141" s="77"/>
      <c r="E141" s="77"/>
      <c r="F141" s="77"/>
      <c r="H141" s="77"/>
    </row>
    <row r="142" spans="2:8">
      <c r="B142" s="77"/>
      <c r="C142" s="77"/>
      <c r="E142" s="77"/>
      <c r="F142" s="77"/>
      <c r="H142" s="77"/>
    </row>
    <row r="143" spans="2:8">
      <c r="B143" s="77"/>
      <c r="C143" s="77"/>
      <c r="E143" s="77"/>
      <c r="F143" s="77"/>
      <c r="H143" s="77"/>
    </row>
    <row r="144" spans="2:8">
      <c r="F144" s="33"/>
      <c r="G144" s="33"/>
      <c r="H144" s="78"/>
    </row>
    <row r="145" spans="2:8">
      <c r="B145" s="41" t="s">
        <v>10</v>
      </c>
      <c r="F145" s="33"/>
      <c r="G145" s="33"/>
    </row>
    <row r="146" spans="2:8">
      <c r="B146" s="41" t="s">
        <v>70</v>
      </c>
      <c r="F146" s="33"/>
      <c r="G146" s="33"/>
      <c r="H146" s="77"/>
    </row>
    <row r="147" spans="2:8">
      <c r="B147" s="41" t="s">
        <v>71</v>
      </c>
      <c r="F147" s="33"/>
      <c r="G147" s="33"/>
      <c r="H147" s="33"/>
    </row>
    <row r="148" spans="2:8">
      <c r="B148" s="41" t="s">
        <v>72</v>
      </c>
      <c r="F148" s="33"/>
      <c r="G148" s="33"/>
      <c r="H148" s="33"/>
    </row>
    <row r="163" spans="1:10" ht="20.25">
      <c r="B163" s="840" t="s">
        <v>18</v>
      </c>
      <c r="C163" s="840"/>
      <c r="D163" s="840"/>
      <c r="E163" s="840"/>
      <c r="F163" s="840"/>
      <c r="G163" s="840"/>
      <c r="H163" s="840"/>
      <c r="I163" s="840"/>
    </row>
    <row r="164" spans="1:10" ht="15.75">
      <c r="A164" s="4"/>
      <c r="B164" s="832" t="s">
        <v>87</v>
      </c>
      <c r="C164" s="832"/>
      <c r="D164" s="832"/>
      <c r="E164" s="832"/>
      <c r="F164" s="832"/>
      <c r="G164" s="832"/>
      <c r="H164" s="832"/>
    </row>
    <row r="165" spans="1:10" ht="15.75">
      <c r="A165" s="4"/>
      <c r="B165" s="79"/>
      <c r="C165" s="79"/>
      <c r="D165" s="79"/>
      <c r="E165" s="79"/>
      <c r="F165" s="79"/>
      <c r="G165" s="79"/>
      <c r="H165" s="79"/>
    </row>
    <row r="166" spans="1:10">
      <c r="B166" s="841" t="s">
        <v>68</v>
      </c>
      <c r="C166" s="841"/>
      <c r="D166" s="59"/>
      <c r="E166" s="59"/>
      <c r="F166" s="59"/>
      <c r="G166" s="60" t="s">
        <v>69</v>
      </c>
      <c r="H166" s="69">
        <f>H3</f>
        <v>43584</v>
      </c>
    </row>
    <row r="167" spans="1:10">
      <c r="D167" s="13"/>
      <c r="E167" s="13"/>
      <c r="F167" s="26"/>
    </row>
    <row r="168" spans="1:10">
      <c r="D168" s="13"/>
      <c r="E168" s="13"/>
      <c r="F168" s="26"/>
    </row>
    <row r="169" spans="1:10" ht="15.75">
      <c r="B169" s="80"/>
      <c r="C169" s="80"/>
      <c r="E169" s="81" t="s">
        <v>84</v>
      </c>
      <c r="F169" s="82" t="str">
        <f>'Nov 2020'!U4</f>
        <v>November 2020</v>
      </c>
      <c r="G169" s="73"/>
      <c r="H169" s="73"/>
    </row>
    <row r="170" spans="1:10">
      <c r="C170" s="13"/>
      <c r="D170" s="13"/>
      <c r="E170" s="26"/>
    </row>
    <row r="172" spans="1:10" ht="18" customHeight="1">
      <c r="C172" s="83" t="s">
        <v>74</v>
      </c>
      <c r="D172" s="84" t="s">
        <v>86</v>
      </c>
      <c r="E172" s="85" t="s">
        <v>75</v>
      </c>
      <c r="F172" s="86"/>
      <c r="G172" s="87"/>
      <c r="H172" s="836" t="s">
        <v>19</v>
      </c>
      <c r="I172" s="837"/>
      <c r="J172" s="88" t="s">
        <v>85</v>
      </c>
    </row>
    <row r="173" spans="1:10" ht="22.5" customHeight="1">
      <c r="C173" s="89">
        <v>1</v>
      </c>
      <c r="D173" s="90">
        <f>'Nov 2020'!C23</f>
        <v>1863</v>
      </c>
      <c r="E173" s="91" t="str">
        <f>'Nov 2020'!D23</f>
        <v>Md.Shahabuddin</v>
      </c>
      <c r="F173" s="92"/>
      <c r="G173" s="93"/>
      <c r="H173" s="94" t="str">
        <f>'Nov 2020'!E23</f>
        <v>SSG-2</v>
      </c>
      <c r="I173" s="95" t="str">
        <f>'Nov 2020'!F23</f>
        <v>BSB</v>
      </c>
      <c r="J173" s="96">
        <v>2800</v>
      </c>
    </row>
    <row r="182" spans="2:8" ht="15.75">
      <c r="B182" s="40" t="s">
        <v>8</v>
      </c>
      <c r="C182" s="40"/>
      <c r="D182" s="4"/>
      <c r="E182" s="40" t="s">
        <v>79</v>
      </c>
      <c r="F182" s="40"/>
      <c r="G182" s="4"/>
      <c r="H182" s="40" t="s">
        <v>157</v>
      </c>
    </row>
    <row r="183" spans="2:8">
      <c r="B183" s="77"/>
      <c r="C183" s="77"/>
      <c r="E183" s="77"/>
      <c r="F183" s="77"/>
      <c r="H183" s="77"/>
    </row>
    <row r="184" spans="2:8">
      <c r="B184" s="77"/>
      <c r="C184" s="77"/>
      <c r="E184" s="77"/>
      <c r="F184" s="77"/>
      <c r="H184" s="77"/>
    </row>
    <row r="185" spans="2:8">
      <c r="B185" s="77"/>
      <c r="C185" s="77"/>
      <c r="E185" s="77"/>
      <c r="F185" s="77"/>
      <c r="H185" s="77"/>
    </row>
    <row r="186" spans="2:8">
      <c r="B186" s="77"/>
      <c r="C186" s="77"/>
      <c r="E186" s="77"/>
      <c r="F186" s="77"/>
      <c r="H186" s="77"/>
    </row>
    <row r="187" spans="2:8">
      <c r="B187" s="77"/>
      <c r="C187" s="77"/>
      <c r="E187" s="77"/>
      <c r="F187" s="77"/>
      <c r="H187" s="77"/>
    </row>
    <row r="188" spans="2:8">
      <c r="B188" s="77"/>
      <c r="C188" s="77"/>
      <c r="E188" s="77"/>
      <c r="F188" s="77"/>
      <c r="H188" s="77"/>
    </row>
    <row r="189" spans="2:8">
      <c r="B189" s="77"/>
      <c r="C189" s="77"/>
      <c r="E189" s="77"/>
      <c r="F189" s="77"/>
      <c r="H189" s="77"/>
    </row>
    <row r="190" spans="2:8">
      <c r="B190" s="77"/>
      <c r="C190" s="77"/>
      <c r="E190" s="77"/>
      <c r="F190" s="77"/>
      <c r="H190" s="77"/>
    </row>
    <row r="191" spans="2:8">
      <c r="F191" s="33"/>
      <c r="G191" s="33"/>
      <c r="H191" s="78"/>
    </row>
    <row r="192" spans="2:8">
      <c r="B192" s="41" t="s">
        <v>10</v>
      </c>
      <c r="C192" s="41"/>
      <c r="F192" s="33"/>
      <c r="G192" s="33"/>
    </row>
    <row r="193" spans="2:8">
      <c r="B193" s="41" t="s">
        <v>70</v>
      </c>
      <c r="C193" s="41"/>
      <c r="F193" s="33"/>
      <c r="G193" s="33"/>
      <c r="H193" s="77"/>
    </row>
    <row r="194" spans="2:8">
      <c r="B194" s="41" t="s">
        <v>71</v>
      </c>
      <c r="C194" s="41"/>
      <c r="F194" s="33"/>
      <c r="G194" s="33"/>
      <c r="H194" s="33"/>
    </row>
    <row r="195" spans="2:8">
      <c r="B195" s="41" t="s">
        <v>72</v>
      </c>
      <c r="C195" s="41"/>
      <c r="F195" s="33"/>
      <c r="G195" s="33"/>
      <c r="H195" s="33"/>
    </row>
    <row r="222" spans="1:9" ht="20.25">
      <c r="A222" s="831" t="s">
        <v>18</v>
      </c>
      <c r="B222" s="831"/>
      <c r="C222" s="831"/>
      <c r="D222" s="831"/>
      <c r="E222" s="831"/>
      <c r="F222" s="831"/>
      <c r="G222" s="831"/>
      <c r="H222" s="831"/>
      <c r="I222" s="57"/>
    </row>
    <row r="223" spans="1:9" ht="15.75">
      <c r="A223" s="4"/>
      <c r="B223" s="832" t="s">
        <v>87</v>
      </c>
      <c r="C223" s="832"/>
      <c r="D223" s="832"/>
      <c r="E223" s="832"/>
      <c r="F223" s="832"/>
      <c r="G223" s="832"/>
      <c r="H223" s="832"/>
      <c r="I223" s="58"/>
    </row>
    <row r="224" spans="1:9" ht="15.75">
      <c r="A224" s="4"/>
      <c r="B224" s="79"/>
      <c r="C224" s="79"/>
      <c r="D224" s="79"/>
      <c r="E224" s="79"/>
      <c r="F224" s="79"/>
      <c r="G224" s="79"/>
      <c r="H224" s="79"/>
      <c r="I224" s="58"/>
    </row>
    <row r="225" spans="1:10" ht="15.75">
      <c r="A225" s="4"/>
      <c r="B225" s="833" t="s">
        <v>68</v>
      </c>
      <c r="C225" s="833"/>
      <c r="D225" s="5"/>
      <c r="E225" s="5"/>
      <c r="F225" s="5"/>
      <c r="G225" s="6" t="s">
        <v>69</v>
      </c>
      <c r="H225" s="7">
        <f>H3</f>
        <v>43584</v>
      </c>
    </row>
    <row r="226" spans="1:10" ht="15.75">
      <c r="A226" s="4"/>
      <c r="B226" s="4"/>
      <c r="C226" s="4"/>
      <c r="D226" s="8"/>
      <c r="E226" s="8"/>
      <c r="F226" s="9"/>
      <c r="G226" s="4"/>
      <c r="H226" s="4"/>
    </row>
    <row r="227" spans="1:10" ht="15.75">
      <c r="A227" s="4"/>
      <c r="B227" s="4"/>
      <c r="C227" s="4"/>
      <c r="D227" s="8"/>
      <c r="E227" s="8"/>
      <c r="F227" s="9"/>
      <c r="G227" s="4"/>
      <c r="H227" s="4"/>
    </row>
    <row r="228" spans="1:10" ht="15.75">
      <c r="A228" s="4"/>
      <c r="B228" s="70"/>
      <c r="C228" s="70"/>
      <c r="D228" s="4"/>
      <c r="E228" s="71" t="s">
        <v>89</v>
      </c>
      <c r="F228" s="72" t="str">
        <f>'Nov 2020'!U4</f>
        <v>November 2020</v>
      </c>
      <c r="G228" s="73"/>
      <c r="H228" s="73"/>
    </row>
    <row r="229" spans="1:10">
      <c r="C229" s="13"/>
      <c r="D229" s="13"/>
      <c r="E229" s="26"/>
    </row>
    <row r="231" spans="1:10" ht="28.5">
      <c r="B231" s="15" t="s">
        <v>74</v>
      </c>
      <c r="C231" s="15" t="s">
        <v>86</v>
      </c>
      <c r="D231" s="16" t="s">
        <v>75</v>
      </c>
      <c r="E231" s="17" t="s">
        <v>19</v>
      </c>
      <c r="F231" s="16"/>
      <c r="G231" s="18" t="s">
        <v>85</v>
      </c>
    </row>
    <row r="232" spans="1:10" ht="30">
      <c r="B232" s="50">
        <v>1</v>
      </c>
      <c r="C232" s="22">
        <f>'Nov 2020'!C10</f>
        <v>2509</v>
      </c>
      <c r="D232" s="22" t="str">
        <f>'Nov 2020'!D10</f>
        <v>Shankar Kumar Bhoumik</v>
      </c>
      <c r="E232" s="22" t="str">
        <f>'Nov 2020'!E10</f>
        <v>AGM</v>
      </c>
      <c r="F232" s="22" t="str">
        <f>'Nov 2020'!F10</f>
        <v>BDBL</v>
      </c>
      <c r="G232" s="75">
        <f>'Nov 2020'!AF10</f>
        <v>2000</v>
      </c>
    </row>
    <row r="233" spans="1:10" ht="15">
      <c r="B233" s="50">
        <f>B232+1</f>
        <v>2</v>
      </c>
      <c r="C233" s="22">
        <f>'Nov 2020'!C11</f>
        <v>2357</v>
      </c>
      <c r="D233" s="22" t="str">
        <f>'Nov 2020'!D11</f>
        <v>Md Nuruzzaman</v>
      </c>
      <c r="E233" s="22" t="str">
        <f>'Nov 2020'!E11</f>
        <v>SPO</v>
      </c>
      <c r="F233" s="22" t="str">
        <f>'Nov 2020'!F11</f>
        <v>BDBL</v>
      </c>
      <c r="G233" s="75">
        <f>'Nov 2020'!AF11</f>
        <v>500</v>
      </c>
    </row>
    <row r="234" spans="1:10" ht="18.75" customHeight="1">
      <c r="B234" s="50">
        <f t="shared" ref="B234:B238" si="6">B233+1</f>
        <v>3</v>
      </c>
      <c r="C234" s="22" t="e">
        <f>'Nov 2020'!#REF!</f>
        <v>#REF!</v>
      </c>
      <c r="D234" s="22" t="e">
        <f>'Nov 2020'!#REF!</f>
        <v>#REF!</v>
      </c>
      <c r="E234" s="22" t="e">
        <f>'Nov 2020'!#REF!</f>
        <v>#REF!</v>
      </c>
      <c r="F234" s="22" t="e">
        <f>'Nov 2020'!#REF!</f>
        <v>#REF!</v>
      </c>
      <c r="G234" s="75" t="e">
        <f>'Nov 2020'!#REF!</f>
        <v>#REF!</v>
      </c>
    </row>
    <row r="235" spans="1:10" ht="20.25" customHeight="1">
      <c r="B235" s="50">
        <f t="shared" si="6"/>
        <v>4</v>
      </c>
      <c r="C235" s="22" t="e">
        <f>'Nov 2020'!#REF!</f>
        <v>#REF!</v>
      </c>
      <c r="D235" s="22" t="e">
        <f>'Nov 2020'!#REF!</f>
        <v>#REF!</v>
      </c>
      <c r="E235" s="22" t="e">
        <f>'Nov 2020'!#REF!</f>
        <v>#REF!</v>
      </c>
      <c r="F235" s="22" t="e">
        <f>'Nov 2020'!#REF!</f>
        <v>#REF!</v>
      </c>
      <c r="G235" s="75" t="e">
        <f>'Nov 2020'!#REF!</f>
        <v>#REF!</v>
      </c>
    </row>
    <row r="236" spans="1:10" ht="20.25" customHeight="1">
      <c r="B236" s="50">
        <f t="shared" si="6"/>
        <v>5</v>
      </c>
      <c r="C236" s="22">
        <f>'Nov 2020'!C12</f>
        <v>2385</v>
      </c>
      <c r="D236" s="22" t="str">
        <f>'Nov 2020'!D12</f>
        <v>Md Zinnatul Alam</v>
      </c>
      <c r="E236" s="22" t="str">
        <f>'Nov 2020'!E12</f>
        <v>PO</v>
      </c>
      <c r="F236" s="22" t="str">
        <f>'Nov 2020'!F12</f>
        <v>BDBL</v>
      </c>
      <c r="G236" s="75">
        <f>'Nov 2020'!AF12</f>
        <v>640</v>
      </c>
    </row>
    <row r="237" spans="1:10" ht="20.25" customHeight="1">
      <c r="B237" s="50">
        <f t="shared" si="6"/>
        <v>6</v>
      </c>
      <c r="C237" s="22">
        <f>'Nov 2020'!C14</f>
        <v>1958</v>
      </c>
      <c r="D237" s="22" t="e">
        <f>'Nov 2020'!#REF!</f>
        <v>#REF!</v>
      </c>
      <c r="E237" s="22" t="e">
        <f>'Nov 2020'!#REF!</f>
        <v>#REF!</v>
      </c>
      <c r="F237" s="22" t="e">
        <f>'Nov 2020'!#REF!</f>
        <v>#REF!</v>
      </c>
      <c r="G237" s="75" t="e">
        <f>'Nov 2020'!#REF!</f>
        <v>#REF!</v>
      </c>
    </row>
    <row r="238" spans="1:10" ht="24.75" customHeight="1">
      <c r="B238" s="50">
        <f t="shared" si="6"/>
        <v>7</v>
      </c>
      <c r="C238" s="22" t="e">
        <f>'Nov 2020'!#REF!</f>
        <v>#REF!</v>
      </c>
      <c r="D238" s="22" t="e">
        <f>'Nov 2020'!#REF!</f>
        <v>#REF!</v>
      </c>
      <c r="E238" s="22" t="e">
        <f>'Nov 2020'!#REF!</f>
        <v>#REF!</v>
      </c>
      <c r="F238" s="22" t="e">
        <f>'Nov 2020'!#REF!</f>
        <v>#REF!</v>
      </c>
      <c r="G238" s="75" t="e">
        <f>'Nov 2020'!#REF!</f>
        <v>#REF!</v>
      </c>
    </row>
    <row r="239" spans="1:10" ht="21.75" customHeight="1">
      <c r="B239" s="838" t="s">
        <v>20</v>
      </c>
      <c r="C239" s="839"/>
      <c r="D239" s="839"/>
      <c r="E239" s="839"/>
      <c r="F239" s="839"/>
      <c r="G239" s="97" t="e">
        <f>SUM(G232:G238)</f>
        <v>#REF!</v>
      </c>
      <c r="J239" s="26" t="e">
        <f>G239-'Nov 2020'!AF27</f>
        <v>#REF!</v>
      </c>
    </row>
    <row r="243" spans="2:8" ht="4.5" hidden="1" customHeight="1"/>
    <row r="246" spans="2:8">
      <c r="B246" s="77"/>
      <c r="C246" s="77"/>
      <c r="E246" s="77"/>
      <c r="F246" s="77"/>
      <c r="H246" s="77"/>
    </row>
    <row r="247" spans="2:8">
      <c r="B247" s="77"/>
      <c r="C247" s="77"/>
      <c r="E247" s="77"/>
      <c r="F247" s="77"/>
      <c r="H247" s="77"/>
    </row>
    <row r="248" spans="2:8" ht="15.75">
      <c r="B248" s="40" t="s">
        <v>8</v>
      </c>
      <c r="C248" s="40"/>
      <c r="D248" s="4"/>
      <c r="E248" s="40" t="s">
        <v>79</v>
      </c>
      <c r="F248" s="40"/>
      <c r="G248" s="4"/>
      <c r="H248" s="40" t="s">
        <v>157</v>
      </c>
    </row>
    <row r="249" spans="2:8">
      <c r="B249" s="77"/>
      <c r="C249" s="77"/>
      <c r="E249" s="77"/>
      <c r="F249" s="77"/>
      <c r="H249" s="77"/>
    </row>
    <row r="250" spans="2:8">
      <c r="B250" s="77"/>
      <c r="C250" s="77"/>
      <c r="E250" s="77"/>
      <c r="F250" s="77"/>
      <c r="H250" s="77"/>
    </row>
    <row r="251" spans="2:8">
      <c r="B251" s="77"/>
      <c r="C251" s="77"/>
      <c r="E251" s="77"/>
      <c r="F251" s="77"/>
      <c r="H251" s="77"/>
    </row>
    <row r="252" spans="2:8">
      <c r="B252" s="77"/>
      <c r="C252" s="77"/>
      <c r="E252" s="77"/>
      <c r="F252" s="77"/>
      <c r="H252" s="77"/>
    </row>
    <row r="253" spans="2:8">
      <c r="B253" s="77"/>
      <c r="C253" s="77"/>
      <c r="E253" s="77"/>
      <c r="F253" s="77"/>
      <c r="H253" s="77"/>
    </row>
    <row r="254" spans="2:8">
      <c r="B254" s="77"/>
      <c r="C254" s="77"/>
      <c r="E254" s="77"/>
      <c r="F254" s="77"/>
      <c r="H254" s="77"/>
    </row>
    <row r="255" spans="2:8">
      <c r="B255" s="77"/>
      <c r="C255" s="77"/>
      <c r="E255" s="77"/>
      <c r="F255" s="77"/>
      <c r="H255" s="77"/>
    </row>
    <row r="256" spans="2:8">
      <c r="B256" s="77"/>
      <c r="C256" s="77"/>
      <c r="E256" s="77"/>
      <c r="F256" s="77"/>
      <c r="H256" s="77"/>
    </row>
    <row r="257" spans="2:8">
      <c r="B257" s="77"/>
      <c r="C257" s="77"/>
      <c r="E257" s="77"/>
      <c r="F257" s="77"/>
      <c r="H257" s="77"/>
    </row>
    <row r="258" spans="2:8">
      <c r="F258" s="33"/>
      <c r="G258" s="33"/>
      <c r="H258" s="78"/>
    </row>
    <row r="259" spans="2:8">
      <c r="B259" s="98" t="s">
        <v>10</v>
      </c>
      <c r="F259" s="33"/>
      <c r="G259" s="33"/>
    </row>
    <row r="260" spans="2:8">
      <c r="B260" s="98" t="s">
        <v>70</v>
      </c>
      <c r="F260" s="33"/>
      <c r="G260" s="33"/>
      <c r="H260" s="77"/>
    </row>
    <row r="261" spans="2:8">
      <c r="B261" s="98" t="s">
        <v>71</v>
      </c>
      <c r="F261" s="33"/>
      <c r="G261" s="33"/>
      <c r="H261" s="33"/>
    </row>
    <row r="262" spans="2:8">
      <c r="B262" s="98" t="s">
        <v>72</v>
      </c>
      <c r="F262" s="33"/>
      <c r="G262" s="33"/>
      <c r="H262" s="33"/>
    </row>
    <row r="273" spans="1:10" ht="18.75">
      <c r="A273" s="831" t="s">
        <v>18</v>
      </c>
      <c r="B273" s="831"/>
      <c r="C273" s="831"/>
      <c r="D273" s="831"/>
      <c r="E273" s="831"/>
      <c r="F273" s="831"/>
      <c r="G273" s="831"/>
      <c r="H273" s="831"/>
    </row>
    <row r="274" spans="1:10" ht="15.75">
      <c r="A274" s="4"/>
      <c r="B274" s="832" t="s">
        <v>87</v>
      </c>
      <c r="C274" s="832"/>
      <c r="D274" s="832"/>
      <c r="E274" s="832"/>
      <c r="F274" s="832"/>
      <c r="G274" s="832"/>
      <c r="H274" s="832"/>
    </row>
    <row r="275" spans="1:10" ht="15.75">
      <c r="A275" s="4"/>
      <c r="B275" s="833" t="s">
        <v>68</v>
      </c>
      <c r="C275" s="833"/>
      <c r="D275" s="5"/>
      <c r="E275" s="5"/>
      <c r="F275" s="5"/>
      <c r="G275" s="6" t="s">
        <v>69</v>
      </c>
      <c r="H275" s="7">
        <v>43341</v>
      </c>
    </row>
    <row r="276" spans="1:10" ht="15.75">
      <c r="A276" s="4"/>
      <c r="B276" s="4"/>
      <c r="C276" s="4"/>
      <c r="D276" s="8"/>
      <c r="E276" s="8"/>
      <c r="F276" s="9"/>
      <c r="G276" s="4"/>
      <c r="H276" s="4"/>
    </row>
    <row r="277" spans="1:10" ht="15">
      <c r="B277" s="834" t="s">
        <v>168</v>
      </c>
      <c r="C277" s="834"/>
      <c r="D277" s="834"/>
      <c r="E277" s="834"/>
      <c r="F277" s="834"/>
      <c r="G277" s="10" t="str">
        <f>'Nov 2020'!U4</f>
        <v>November 2020</v>
      </c>
      <c r="H277" s="11"/>
      <c r="I277" s="12"/>
      <c r="J277" s="13"/>
    </row>
    <row r="278" spans="1:10" ht="15">
      <c r="B278" s="14"/>
      <c r="C278" s="11"/>
      <c r="D278" s="11"/>
      <c r="E278" s="11"/>
      <c r="F278" s="11"/>
      <c r="G278" s="11"/>
      <c r="H278" s="11"/>
      <c r="I278" s="12"/>
      <c r="J278" s="13"/>
    </row>
    <row r="279" spans="1:10" ht="28.5">
      <c r="B279" s="15" t="s">
        <v>74</v>
      </c>
      <c r="C279" s="15" t="s">
        <v>86</v>
      </c>
      <c r="D279" s="16" t="s">
        <v>75</v>
      </c>
      <c r="E279" s="17" t="s">
        <v>19</v>
      </c>
      <c r="F279" s="16"/>
      <c r="G279" s="18" t="s">
        <v>76</v>
      </c>
      <c r="H279" s="18"/>
      <c r="I279" s="16" t="s">
        <v>77</v>
      </c>
      <c r="J279" s="19"/>
    </row>
    <row r="280" spans="1:10" ht="15.95" customHeight="1">
      <c r="B280" s="21">
        <v>1</v>
      </c>
      <c r="C280" s="22">
        <f>'Nov 2020'!C10</f>
        <v>2509</v>
      </c>
      <c r="D280" s="22" t="str">
        <f>'Nov 2020'!D10</f>
        <v>Shankar Kumar Bhoumik</v>
      </c>
      <c r="E280" s="23" t="str">
        <f>'Nov 2020'!E10</f>
        <v>AGM</v>
      </c>
      <c r="F280" s="23" t="str">
        <f>'Nov 2020'!F10</f>
        <v>BDBL</v>
      </c>
      <c r="G280" s="24">
        <f>'Nov 2020'!G10</f>
        <v>56030</v>
      </c>
      <c r="H280" s="25"/>
      <c r="I280" s="99">
        <f>'Nov 2020'!AD10</f>
        <v>300</v>
      </c>
      <c r="J280" s="26"/>
    </row>
    <row r="281" spans="1:10" ht="15.95" customHeight="1">
      <c r="B281" s="21">
        <f>B280+1</f>
        <v>2</v>
      </c>
      <c r="C281" s="22">
        <v>2357</v>
      </c>
      <c r="D281" s="22" t="str">
        <f>'Nov 2020'!D11</f>
        <v>Md Nuruzzaman</v>
      </c>
      <c r="E281" s="23" t="str">
        <f>'Nov 2020'!E11</f>
        <v>SPO</v>
      </c>
      <c r="F281" s="23" t="str">
        <f>'Nov 2020'!F11</f>
        <v>BDBL</v>
      </c>
      <c r="G281" s="24">
        <f>'Nov 2020'!G11</f>
        <v>43170</v>
      </c>
      <c r="H281" s="25"/>
      <c r="I281" s="99">
        <f>'Nov 2020'!AD11</f>
        <v>250</v>
      </c>
      <c r="J281" s="26"/>
    </row>
    <row r="282" spans="1:10" ht="15.95" customHeight="1">
      <c r="B282" s="21">
        <f t="shared" ref="B282:B283" si="7">B281+1</f>
        <v>3</v>
      </c>
      <c r="C282" s="23" t="e">
        <f>'Nov 2020'!#REF!</f>
        <v>#REF!</v>
      </c>
      <c r="D282" s="22" t="e">
        <f>'Nov 2020'!#REF!</f>
        <v>#REF!</v>
      </c>
      <c r="E282" s="23" t="e">
        <f>'Nov 2020'!#REF!</f>
        <v>#REF!</v>
      </c>
      <c r="F282" s="23" t="e">
        <f>'Nov 2020'!#REF!</f>
        <v>#REF!</v>
      </c>
      <c r="G282" s="24" t="e">
        <f>'Nov 2020'!#REF!</f>
        <v>#REF!</v>
      </c>
      <c r="H282" s="25"/>
      <c r="I282" s="99" t="e">
        <f>'Nov 2020'!#REF!</f>
        <v>#REF!</v>
      </c>
      <c r="J282" s="26"/>
    </row>
    <row r="283" spans="1:10" ht="15.95" customHeight="1">
      <c r="B283" s="21">
        <f t="shared" si="7"/>
        <v>4</v>
      </c>
      <c r="C283" s="23" t="e">
        <f>'Nov 2020'!#REF!</f>
        <v>#REF!</v>
      </c>
      <c r="D283" s="23" t="e">
        <f>'Nov 2020'!#REF!</f>
        <v>#REF!</v>
      </c>
      <c r="E283" s="23" t="e">
        <f>'Nov 2020'!#REF!</f>
        <v>#REF!</v>
      </c>
      <c r="F283" s="23" t="e">
        <f>'Nov 2020'!#REF!</f>
        <v>#REF!</v>
      </c>
      <c r="G283" s="24" t="e">
        <f>'Nov 2020'!#REF!</f>
        <v>#REF!</v>
      </c>
      <c r="H283" s="25"/>
      <c r="I283" s="99" t="e">
        <f>'Nov 2020'!#REF!</f>
        <v>#REF!</v>
      </c>
      <c r="J283" s="26"/>
    </row>
    <row r="284" spans="1:10" ht="15.95" customHeight="1">
      <c r="B284" s="21">
        <f t="shared" ref="B284:B291" si="8">B283+1</f>
        <v>5</v>
      </c>
      <c r="C284" s="23">
        <f>'Nov 2020'!C12</f>
        <v>2385</v>
      </c>
      <c r="D284" s="22" t="str">
        <f>'Nov 2020'!D12</f>
        <v>Md Zinnatul Alam</v>
      </c>
      <c r="E284" s="23" t="str">
        <f>'Nov 2020'!E12</f>
        <v>PO</v>
      </c>
      <c r="F284" s="23" t="str">
        <f>'Nov 2020'!F12</f>
        <v>BDBL</v>
      </c>
      <c r="G284" s="24">
        <f>'Nov 2020'!G12</f>
        <v>41110</v>
      </c>
      <c r="H284" s="25"/>
      <c r="I284" s="99">
        <f>'Nov 2020'!AD12</f>
        <v>250</v>
      </c>
      <c r="J284" s="26"/>
    </row>
    <row r="285" spans="1:10" ht="15.95" customHeight="1">
      <c r="B285" s="21">
        <f t="shared" si="8"/>
        <v>6</v>
      </c>
      <c r="C285" s="23">
        <f>'Nov 2020'!C14</f>
        <v>1958</v>
      </c>
      <c r="D285" s="22" t="str">
        <f>'Nov 2020'!D14</f>
        <v>Md Hamidur Rahman Beg</v>
      </c>
      <c r="E285" s="23" t="str">
        <f>'Nov 2020'!E14</f>
        <v>SO</v>
      </c>
      <c r="F285" s="23" t="str">
        <f>'Nov 2020'!F14</f>
        <v>BSB</v>
      </c>
      <c r="G285" s="24">
        <f>'Nov 2020'!G14</f>
        <v>37280</v>
      </c>
      <c r="H285" s="25"/>
      <c r="I285" s="99">
        <f>'Nov 2020'!AD14</f>
        <v>200</v>
      </c>
      <c r="J285" s="26"/>
    </row>
    <row r="286" spans="1:10" ht="15.95" customHeight="1">
      <c r="B286" s="21">
        <f t="shared" si="8"/>
        <v>7</v>
      </c>
      <c r="C286" s="23" t="e">
        <f>'Nov 2020'!#REF!</f>
        <v>#REF!</v>
      </c>
      <c r="D286" s="22" t="e">
        <f>'Nov 2020'!#REF!</f>
        <v>#REF!</v>
      </c>
      <c r="E286" s="23" t="e">
        <f>'Nov 2020'!#REF!</f>
        <v>#REF!</v>
      </c>
      <c r="F286" s="23" t="e">
        <f>'Nov 2020'!#REF!</f>
        <v>#REF!</v>
      </c>
      <c r="G286" s="24" t="e">
        <f>'Nov 2020'!#REF!</f>
        <v>#REF!</v>
      </c>
      <c r="H286" s="25"/>
      <c r="I286" s="99" t="e">
        <f>'Nov 2020'!#REF!</f>
        <v>#REF!</v>
      </c>
      <c r="J286" s="26"/>
    </row>
    <row r="287" spans="1:10" ht="15.95" customHeight="1">
      <c r="B287" s="21">
        <f t="shared" si="8"/>
        <v>8</v>
      </c>
      <c r="C287" s="23">
        <f>'Nov 2020'!C16</f>
        <v>1811</v>
      </c>
      <c r="D287" s="23" t="str">
        <f>'Nov 2020'!D16</f>
        <v>Khadiza Begum</v>
      </c>
      <c r="E287" s="23" t="str">
        <f>'Nov 2020'!E16</f>
        <v>SO</v>
      </c>
      <c r="F287" s="23" t="str">
        <f>'Nov 2020'!F16</f>
        <v>BSB</v>
      </c>
      <c r="G287" s="24">
        <f>'Nov 2020'!G16</f>
        <v>20440</v>
      </c>
      <c r="H287" s="25"/>
      <c r="I287" s="99">
        <f>'Nov 2020'!AD16</f>
        <v>200</v>
      </c>
      <c r="J287" s="26"/>
    </row>
    <row r="288" spans="1:10" ht="15.95" customHeight="1">
      <c r="B288" s="21">
        <f t="shared" si="8"/>
        <v>9</v>
      </c>
      <c r="C288" s="23" t="e">
        <f>'Nov 2020'!#REF!</f>
        <v>#REF!</v>
      </c>
      <c r="D288" s="23" t="e">
        <f>'Nov 2020'!#REF!</f>
        <v>#REF!</v>
      </c>
      <c r="E288" s="23" t="e">
        <f>'Nov 2020'!#REF!</f>
        <v>#REF!</v>
      </c>
      <c r="F288" s="23" t="e">
        <f>'Nov 2020'!#REF!</f>
        <v>#REF!</v>
      </c>
      <c r="G288" s="24" t="e">
        <f>'Nov 2020'!#REF!</f>
        <v>#REF!</v>
      </c>
      <c r="H288" s="25"/>
      <c r="I288" s="99" t="e">
        <f>'Nov 2020'!#REF!</f>
        <v>#REF!</v>
      </c>
      <c r="J288" s="26"/>
    </row>
    <row r="289" spans="2:10" ht="15.95" customHeight="1">
      <c r="B289" s="21">
        <f t="shared" si="8"/>
        <v>10</v>
      </c>
      <c r="C289" s="23">
        <f>'Nov 2020'!C21</f>
        <v>1952</v>
      </c>
      <c r="D289" s="23" t="str">
        <f>'Nov 2020'!D21</f>
        <v>Md. Abul Kashem Miah</v>
      </c>
      <c r="E289" s="23" t="str">
        <f>'Nov 2020'!E21</f>
        <v>SSG-1</v>
      </c>
      <c r="F289" s="23" t="str">
        <f>'Nov 2020'!F21</f>
        <v>BSB</v>
      </c>
      <c r="G289" s="24">
        <f>'Nov 2020'!G21</f>
        <v>19320</v>
      </c>
      <c r="H289" s="25"/>
      <c r="I289" s="99">
        <f>'Nov 2020'!AD21</f>
        <v>100</v>
      </c>
      <c r="J289" s="26"/>
    </row>
    <row r="290" spans="2:10" ht="15.95" customHeight="1">
      <c r="B290" s="21">
        <f t="shared" si="8"/>
        <v>11</v>
      </c>
      <c r="C290" s="23">
        <f>'Nov 2020'!C23</f>
        <v>1863</v>
      </c>
      <c r="D290" s="23" t="str">
        <f>'Nov 2020'!D23</f>
        <v>Md.Shahabuddin</v>
      </c>
      <c r="E290" s="23" t="str">
        <f>'Nov 2020'!E23</f>
        <v>SSG-2</v>
      </c>
      <c r="F290" s="23" t="str">
        <f>'Nov 2020'!F23</f>
        <v>BSB</v>
      </c>
      <c r="G290" s="24">
        <f>'Nov 2020'!G23</f>
        <v>19310</v>
      </c>
      <c r="H290" s="25"/>
      <c r="I290" s="99">
        <f>'Nov 2020'!AD23</f>
        <v>100</v>
      </c>
      <c r="J290" s="26"/>
    </row>
    <row r="291" spans="2:10" ht="15.95" customHeight="1">
      <c r="B291" s="21">
        <f t="shared" si="8"/>
        <v>12</v>
      </c>
      <c r="C291" s="23">
        <f>'Nov 2020'!C24</f>
        <v>1892</v>
      </c>
      <c r="D291" s="23" t="str">
        <f>'Nov 2020'!D24</f>
        <v xml:space="preserve">Md. Salim Miah </v>
      </c>
      <c r="E291" s="23" t="str">
        <f>'Nov 2020'!E24</f>
        <v>SSG-2</v>
      </c>
      <c r="F291" s="23" t="str">
        <f>'Nov 2020'!F24</f>
        <v>BSB</v>
      </c>
      <c r="G291" s="24">
        <f>'Nov 2020'!G24</f>
        <v>19310</v>
      </c>
      <c r="H291" s="25"/>
      <c r="I291" s="99">
        <f>'Nov 2020'!AD24</f>
        <v>100</v>
      </c>
      <c r="J291" s="26"/>
    </row>
    <row r="292" spans="2:10" ht="15.95" customHeight="1">
      <c r="B292" s="830" t="s">
        <v>20</v>
      </c>
      <c r="C292" s="830"/>
      <c r="D292" s="830"/>
      <c r="E292" s="27"/>
      <c r="F292" s="27"/>
      <c r="G292" s="28"/>
      <c r="H292" s="28"/>
      <c r="I292" s="100" t="e">
        <f>SUM(I280:I291)</f>
        <v>#REF!</v>
      </c>
      <c r="J292" s="29" t="e">
        <f>I292-'Nov 2020'!AD27</f>
        <v>#REF!</v>
      </c>
    </row>
    <row r="293" spans="2:10" ht="12.6" customHeight="1">
      <c r="B293" s="11"/>
      <c r="C293" s="11"/>
      <c r="D293" s="11"/>
      <c r="E293" s="30"/>
      <c r="F293" s="11"/>
      <c r="G293" s="11"/>
      <c r="H293" s="11"/>
      <c r="I293" s="11"/>
    </row>
    <row r="294" spans="2:10" ht="12.6" customHeight="1">
      <c r="B294" s="11"/>
      <c r="C294" s="31"/>
      <c r="D294" s="11"/>
      <c r="E294" s="11"/>
      <c r="F294" s="32"/>
      <c r="G294" s="32"/>
      <c r="H294" s="11"/>
    </row>
    <row r="295" spans="2:10" ht="12.6" customHeight="1">
      <c r="B295" s="33"/>
      <c r="C295" s="34"/>
      <c r="D295" s="33"/>
      <c r="E295" s="33"/>
      <c r="G295" s="4"/>
      <c r="H295" s="35" t="s">
        <v>9</v>
      </c>
      <c r="I295" s="36" t="e">
        <f>I283+I287+I289+I290+I291+I285</f>
        <v>#REF!</v>
      </c>
    </row>
    <row r="296" spans="2:10" ht="12.6" customHeight="1">
      <c r="B296" s="33"/>
      <c r="C296" s="34"/>
      <c r="D296" s="33"/>
      <c r="E296" s="33"/>
      <c r="G296" s="4"/>
      <c r="H296" s="35" t="s">
        <v>57</v>
      </c>
      <c r="I296" s="36" t="e">
        <f>I280+I288</f>
        <v>#REF!</v>
      </c>
    </row>
    <row r="297" spans="2:10" ht="12.6" customHeight="1">
      <c r="B297" s="33"/>
      <c r="C297" s="34"/>
      <c r="D297" s="33"/>
      <c r="E297" s="33"/>
      <c r="F297" s="37"/>
      <c r="G297" s="33"/>
      <c r="H297" s="35" t="s">
        <v>58</v>
      </c>
      <c r="I297" s="36" t="e">
        <f>I282+I284+I286+I281</f>
        <v>#REF!</v>
      </c>
    </row>
    <row r="298" spans="2:10" ht="12.6" customHeight="1">
      <c r="B298" s="33"/>
      <c r="C298" s="34"/>
      <c r="D298" s="33"/>
      <c r="E298" s="33"/>
      <c r="F298" s="37"/>
      <c r="G298" s="33"/>
      <c r="H298" s="38"/>
      <c r="I298" s="26"/>
    </row>
    <row r="299" spans="2:10" ht="12.6" customHeight="1">
      <c r="B299" s="33"/>
      <c r="C299" s="34"/>
      <c r="D299" s="33"/>
      <c r="E299" s="39"/>
      <c r="F299" s="37"/>
      <c r="G299" s="33"/>
      <c r="H299" s="38"/>
      <c r="I299" s="26" t="e">
        <f>I297+I296+I295-I292</f>
        <v>#REF!</v>
      </c>
    </row>
    <row r="300" spans="2:10" ht="12.6" customHeight="1">
      <c r="B300" s="33"/>
      <c r="C300" s="34"/>
      <c r="D300" s="33"/>
      <c r="E300" s="33"/>
      <c r="F300" s="37"/>
      <c r="G300" s="33"/>
      <c r="H300" s="38"/>
      <c r="I300" s="26"/>
    </row>
    <row r="301" spans="2:10" ht="12.6" customHeight="1">
      <c r="B301" s="33"/>
      <c r="C301" s="34"/>
      <c r="D301" s="33"/>
      <c r="E301" s="33"/>
      <c r="F301" s="37"/>
      <c r="G301" s="33"/>
      <c r="H301" s="38"/>
    </row>
    <row r="302" spans="2:10" ht="12.6" customHeight="1">
      <c r="B302" s="33"/>
      <c r="C302" s="34"/>
      <c r="D302" s="33"/>
      <c r="E302" s="33"/>
      <c r="F302" s="37"/>
      <c r="G302" s="33"/>
      <c r="H302" s="38"/>
    </row>
    <row r="303" spans="2:10" ht="12.6" customHeight="1">
      <c r="H303" s="38"/>
    </row>
    <row r="304" spans="2:10" ht="12.6" customHeight="1">
      <c r="B304" s="40" t="s">
        <v>8</v>
      </c>
      <c r="C304" s="40"/>
      <c r="D304" s="4"/>
      <c r="E304" s="40" t="s">
        <v>79</v>
      </c>
      <c r="F304" s="40"/>
      <c r="G304" s="4"/>
      <c r="H304" s="40" t="s">
        <v>157</v>
      </c>
      <c r="I304" s="4"/>
    </row>
    <row r="305" spans="2:9" ht="12.6" customHeight="1">
      <c r="B305" s="40"/>
      <c r="C305" s="40"/>
      <c r="D305" s="4"/>
      <c r="E305" s="40"/>
      <c r="F305" s="40"/>
      <c r="G305" s="4"/>
      <c r="H305" s="40"/>
      <c r="I305" s="4"/>
    </row>
    <row r="306" spans="2:9" ht="12.6" customHeight="1">
      <c r="B306" s="40"/>
      <c r="C306" s="40"/>
      <c r="D306" s="4"/>
      <c r="E306" s="40"/>
      <c r="F306" s="40"/>
      <c r="G306" s="4"/>
      <c r="H306" s="40"/>
      <c r="I306" s="4"/>
    </row>
    <row r="307" spans="2:9" ht="12.6" customHeight="1">
      <c r="B307" s="40"/>
      <c r="C307" s="40"/>
      <c r="D307" s="4"/>
      <c r="E307" s="40"/>
      <c r="F307" s="40"/>
      <c r="G307" s="4"/>
      <c r="H307" s="40"/>
      <c r="I307" s="4"/>
    </row>
    <row r="308" spans="2:9" ht="12.6" customHeight="1">
      <c r="B308" s="40"/>
      <c r="C308" s="40"/>
      <c r="D308" s="4"/>
      <c r="E308" s="40"/>
      <c r="F308" s="40"/>
      <c r="G308" s="4"/>
      <c r="H308" s="40"/>
      <c r="I308" s="4"/>
    </row>
    <row r="309" spans="2:9" ht="12.6" customHeight="1">
      <c r="B309" s="40"/>
      <c r="C309" s="40"/>
      <c r="D309" s="4"/>
      <c r="E309" s="40"/>
      <c r="F309" s="40"/>
      <c r="G309" s="4"/>
      <c r="H309" s="40"/>
      <c r="I309" s="4"/>
    </row>
    <row r="310" spans="2:9" ht="12.6" customHeight="1">
      <c r="B310" s="4"/>
      <c r="C310" s="4"/>
      <c r="D310" s="4"/>
      <c r="E310" s="4"/>
      <c r="F310" s="4"/>
      <c r="G310" s="4"/>
      <c r="H310" s="8"/>
      <c r="I310" s="4"/>
    </row>
    <row r="311" spans="2:9" ht="12.6" customHeight="1">
      <c r="B311" s="41" t="s">
        <v>10</v>
      </c>
      <c r="C311" s="41"/>
      <c r="D311" s="4"/>
      <c r="E311" s="4"/>
      <c r="F311" s="4"/>
      <c r="G311" s="4"/>
      <c r="H311" s="4"/>
      <c r="I311" s="4"/>
    </row>
    <row r="312" spans="2:9" ht="12.6" customHeight="1">
      <c r="B312" s="41" t="s">
        <v>70</v>
      </c>
      <c r="C312" s="41"/>
      <c r="D312" s="4"/>
      <c r="E312" s="4"/>
      <c r="F312" s="4"/>
      <c r="G312" s="4"/>
      <c r="H312" s="40"/>
      <c r="I312" s="4"/>
    </row>
    <row r="313" spans="2:9" ht="12.6" customHeight="1">
      <c r="B313" s="41" t="s">
        <v>71</v>
      </c>
      <c r="C313" s="41"/>
      <c r="D313" s="4"/>
      <c r="E313" s="4"/>
      <c r="F313" s="4"/>
      <c r="G313" s="4"/>
      <c r="H313" s="4"/>
      <c r="I313" s="4"/>
    </row>
    <row r="314" spans="2:9" ht="12.6" customHeight="1">
      <c r="B314" s="41" t="s">
        <v>72</v>
      </c>
      <c r="C314" s="41"/>
      <c r="D314" s="4"/>
      <c r="E314" s="4"/>
      <c r="F314" s="4"/>
      <c r="G314" s="4"/>
      <c r="H314" s="4"/>
      <c r="I314" s="4"/>
    </row>
    <row r="315" spans="2:9" ht="12.6" customHeight="1">
      <c r="B315" s="41" t="s">
        <v>73</v>
      </c>
      <c r="C315" s="41"/>
      <c r="D315" s="4"/>
      <c r="E315" s="4"/>
      <c r="F315" s="4"/>
      <c r="G315" s="4"/>
      <c r="H315" s="4"/>
      <c r="I315" s="4"/>
    </row>
    <row r="316" spans="2:9" ht="12.6" customHeight="1">
      <c r="B316" s="41"/>
      <c r="C316" s="41"/>
      <c r="D316" s="4"/>
      <c r="E316" s="4"/>
      <c r="F316" s="4"/>
      <c r="G316" s="4"/>
      <c r="H316" s="4"/>
      <c r="I316" s="4"/>
    </row>
    <row r="317" spans="2:9" ht="12.6" customHeight="1">
      <c r="B317" s="41"/>
      <c r="C317" s="41"/>
      <c r="D317" s="4"/>
      <c r="E317" s="4"/>
      <c r="F317" s="4"/>
      <c r="G317" s="4"/>
      <c r="H317" s="4"/>
      <c r="I317" s="4"/>
    </row>
    <row r="318" spans="2:9" ht="12.6" customHeight="1">
      <c r="B318" s="41"/>
      <c r="C318" s="41"/>
      <c r="D318" s="4"/>
      <c r="E318" s="4"/>
      <c r="F318" s="4"/>
      <c r="G318" s="4"/>
      <c r="H318" s="4"/>
      <c r="I318" s="4"/>
    </row>
    <row r="319" spans="2:9" ht="12.6" customHeight="1">
      <c r="B319" s="41"/>
      <c r="C319" s="41"/>
      <c r="D319" s="4"/>
      <c r="E319" s="4"/>
      <c r="F319" s="4"/>
      <c r="G319" s="4"/>
      <c r="H319" s="4"/>
      <c r="I319" s="4"/>
    </row>
    <row r="320" spans="2:9" ht="12.6" customHeight="1">
      <c r="B320" s="41"/>
      <c r="C320" s="41"/>
      <c r="D320" s="4"/>
      <c r="E320" s="4"/>
      <c r="F320" s="4"/>
      <c r="G320" s="4"/>
      <c r="H320" s="4"/>
      <c r="I320" s="4"/>
    </row>
    <row r="321" spans="1:10" ht="12.6" customHeight="1">
      <c r="B321" s="41"/>
      <c r="C321" s="41"/>
      <c r="D321" s="4"/>
      <c r="E321" s="4"/>
      <c r="F321" s="4"/>
      <c r="G321" s="4"/>
      <c r="H321" s="4"/>
      <c r="I321" s="4"/>
    </row>
    <row r="322" spans="1:10" ht="12.6" customHeight="1">
      <c r="B322" s="41"/>
      <c r="C322" s="41"/>
      <c r="D322" s="4"/>
      <c r="E322" s="4"/>
      <c r="F322" s="4"/>
      <c r="G322" s="4"/>
      <c r="H322" s="4"/>
      <c r="I322" s="4"/>
    </row>
    <row r="323" spans="1:10" ht="12.6" customHeight="1">
      <c r="B323" s="41"/>
      <c r="C323" s="41"/>
      <c r="D323" s="4"/>
      <c r="E323" s="4"/>
      <c r="F323" s="4"/>
      <c r="G323" s="4"/>
      <c r="H323" s="4"/>
      <c r="I323" s="4"/>
    </row>
    <row r="324" spans="1:10" ht="12.6" customHeight="1">
      <c r="B324" s="41"/>
      <c r="C324" s="41"/>
      <c r="D324" s="4"/>
      <c r="E324" s="4"/>
      <c r="F324" s="4"/>
      <c r="G324" s="4"/>
      <c r="H324" s="4"/>
      <c r="I324" s="4"/>
    </row>
    <row r="325" spans="1:10" ht="12.6" customHeight="1">
      <c r="B325" s="41"/>
      <c r="C325" s="41"/>
      <c r="D325" s="4"/>
      <c r="E325" s="4"/>
      <c r="F325" s="4"/>
      <c r="G325" s="4"/>
      <c r="H325" s="4"/>
      <c r="I325" s="4"/>
    </row>
    <row r="326" spans="1:10" ht="12.6" customHeight="1">
      <c r="F326" s="33"/>
      <c r="G326" s="33"/>
      <c r="H326" s="33"/>
      <c r="I326" s="33"/>
    </row>
    <row r="327" spans="1:10" ht="12.6" customHeight="1">
      <c r="A327" s="831" t="s">
        <v>18</v>
      </c>
      <c r="B327" s="831"/>
      <c r="C327" s="831"/>
      <c r="D327" s="831"/>
      <c r="E327" s="831"/>
      <c r="F327" s="831"/>
      <c r="G327" s="831"/>
      <c r="H327" s="831"/>
    </row>
    <row r="328" spans="1:10" ht="12.6" customHeight="1">
      <c r="A328" s="4"/>
      <c r="B328" s="832" t="s">
        <v>87</v>
      </c>
      <c r="C328" s="832"/>
      <c r="D328" s="832"/>
      <c r="E328" s="832"/>
      <c r="F328" s="832"/>
      <c r="G328" s="832"/>
      <c r="H328" s="832"/>
    </row>
    <row r="329" spans="1:10" ht="12.6" customHeight="1">
      <c r="A329" s="4"/>
      <c r="B329" s="833" t="s">
        <v>68</v>
      </c>
      <c r="C329" s="833"/>
      <c r="D329" s="5"/>
      <c r="E329" s="5"/>
      <c r="F329" s="5"/>
      <c r="G329" s="6" t="s">
        <v>69</v>
      </c>
      <c r="H329" s="7">
        <v>43341</v>
      </c>
    </row>
    <row r="330" spans="1:10" ht="12.6" customHeight="1">
      <c r="A330" s="4"/>
      <c r="B330" s="4"/>
      <c r="C330" s="4"/>
      <c r="D330" s="8"/>
      <c r="E330" s="8"/>
      <c r="F330" s="9"/>
      <c r="G330" s="4"/>
      <c r="H330" s="4"/>
    </row>
    <row r="331" spans="1:10" ht="16.5" customHeight="1">
      <c r="B331" s="834" t="s">
        <v>169</v>
      </c>
      <c r="C331" s="834"/>
      <c r="D331" s="834"/>
      <c r="E331" s="834"/>
      <c r="F331" s="834"/>
      <c r="G331" s="10">
        <f>'Nov 2020'!V4</f>
        <v>0</v>
      </c>
      <c r="H331" s="11"/>
      <c r="I331" s="12"/>
      <c r="J331" s="13"/>
    </row>
    <row r="332" spans="1:10" ht="12.6" customHeight="1">
      <c r="B332" s="14"/>
      <c r="C332" s="11"/>
      <c r="D332" s="11"/>
      <c r="E332" s="11"/>
      <c r="F332" s="11"/>
      <c r="G332" s="11"/>
      <c r="H332" s="11"/>
      <c r="I332" s="12"/>
      <c r="J332" s="13"/>
    </row>
    <row r="333" spans="1:10" ht="18" customHeight="1">
      <c r="B333" s="15" t="s">
        <v>74</v>
      </c>
      <c r="C333" s="15" t="s">
        <v>86</v>
      </c>
      <c r="D333" s="16" t="s">
        <v>75</v>
      </c>
      <c r="E333" s="17" t="s">
        <v>19</v>
      </c>
      <c r="F333" s="16"/>
      <c r="G333" s="18" t="s">
        <v>76</v>
      </c>
      <c r="H333" s="18"/>
      <c r="I333" s="16" t="s">
        <v>77</v>
      </c>
      <c r="J333" s="19"/>
    </row>
    <row r="334" spans="1:10" ht="30.75" customHeight="1">
      <c r="B334" s="21">
        <v>2</v>
      </c>
      <c r="C334" s="22">
        <f>'Nov 2020'!C10</f>
        <v>2509</v>
      </c>
      <c r="D334" s="22" t="str">
        <f>'Nov 2020'!D10</f>
        <v>Shankar Kumar Bhoumik</v>
      </c>
      <c r="E334" s="23" t="str">
        <f>'Nov 2020'!E10</f>
        <v>AGM</v>
      </c>
      <c r="F334" s="23" t="str">
        <f>'Nov 2020'!F10</f>
        <v>BDBL</v>
      </c>
      <c r="G334" s="24">
        <f>'Nov 2020'!G10</f>
        <v>56030</v>
      </c>
      <c r="H334" s="25"/>
      <c r="I334" s="99">
        <f>'Nov 2020'!AG10</f>
        <v>0</v>
      </c>
      <c r="J334" s="26"/>
    </row>
    <row r="335" spans="1:10" ht="18" customHeight="1">
      <c r="B335" s="21">
        <v>1</v>
      </c>
      <c r="C335" s="23" t="e">
        <f>'Nov 2020'!#REF!</f>
        <v>#REF!</v>
      </c>
      <c r="D335" s="23" t="e">
        <f>'Nov 2020'!#REF!</f>
        <v>#REF!</v>
      </c>
      <c r="E335" s="22" t="e">
        <f>'Nov 2020'!#REF!</f>
        <v>#REF!</v>
      </c>
      <c r="F335" s="23" t="e">
        <f>'Nov 2020'!#REF!</f>
        <v>#REF!</v>
      </c>
      <c r="G335" s="24" t="e">
        <f>'Nov 2020'!#REF!</f>
        <v>#REF!</v>
      </c>
      <c r="H335" s="25"/>
      <c r="I335" s="99" t="e">
        <f>'Nov 2020'!#REF!</f>
        <v>#REF!</v>
      </c>
      <c r="J335" s="26"/>
    </row>
    <row r="336" spans="1:10" ht="18" customHeight="1">
      <c r="B336" s="830" t="s">
        <v>20</v>
      </c>
      <c r="C336" s="830"/>
      <c r="D336" s="830"/>
      <c r="E336" s="27"/>
      <c r="F336" s="27"/>
      <c r="G336" s="28"/>
      <c r="H336" s="28"/>
      <c r="I336" s="100" t="e">
        <f>SUM(I334:I335)</f>
        <v>#REF!</v>
      </c>
      <c r="J336" s="29" t="e">
        <f>I336-'Nov 2020'!AG27</f>
        <v>#REF!</v>
      </c>
    </row>
    <row r="337" spans="2:9" ht="18" customHeight="1">
      <c r="B337" s="11"/>
      <c r="C337" s="11"/>
      <c r="D337" s="11"/>
      <c r="E337" s="30"/>
      <c r="F337" s="11"/>
      <c r="G337" s="11"/>
      <c r="H337" s="11"/>
      <c r="I337" s="11"/>
    </row>
    <row r="338" spans="2:9" ht="15">
      <c r="B338" s="11"/>
      <c r="C338" s="31"/>
      <c r="D338" s="11"/>
      <c r="E338" s="11"/>
      <c r="F338" s="32"/>
      <c r="G338" s="32"/>
      <c r="H338" s="11"/>
    </row>
    <row r="339" spans="2:9">
      <c r="B339" s="33"/>
      <c r="C339" s="34"/>
      <c r="D339" s="33"/>
      <c r="E339" s="33"/>
      <c r="F339" s="37"/>
      <c r="G339" s="33"/>
      <c r="H339" s="38"/>
    </row>
    <row r="340" spans="2:9">
      <c r="B340" s="33"/>
      <c r="C340" s="34"/>
      <c r="D340" s="33"/>
      <c r="E340" s="39"/>
      <c r="F340" s="37"/>
      <c r="G340" s="33"/>
      <c r="H340" s="38"/>
    </row>
    <row r="341" spans="2:9">
      <c r="B341" s="33"/>
      <c r="C341" s="34"/>
      <c r="D341" s="33"/>
      <c r="E341" s="33"/>
      <c r="F341" s="37"/>
      <c r="G341" s="33"/>
      <c r="H341" s="38"/>
      <c r="I341" s="26"/>
    </row>
    <row r="342" spans="2:9">
      <c r="B342" s="33"/>
      <c r="C342" s="34"/>
      <c r="D342" s="33"/>
      <c r="E342" s="33"/>
      <c r="F342" s="37"/>
      <c r="G342" s="33"/>
      <c r="H342" s="38"/>
    </row>
    <row r="343" spans="2:9">
      <c r="B343" s="33"/>
      <c r="C343" s="34"/>
      <c r="D343" s="33"/>
      <c r="E343" s="33"/>
      <c r="F343" s="37"/>
      <c r="G343" s="33"/>
      <c r="H343" s="38"/>
    </row>
    <row r="344" spans="2:9">
      <c r="H344" s="38"/>
    </row>
    <row r="345" spans="2:9" ht="15.75">
      <c r="B345" s="40" t="s">
        <v>8</v>
      </c>
      <c r="C345" s="40"/>
      <c r="D345" s="4"/>
      <c r="E345" s="40" t="s">
        <v>79</v>
      </c>
      <c r="F345" s="40"/>
      <c r="G345" s="4"/>
      <c r="H345" s="40" t="s">
        <v>157</v>
      </c>
      <c r="I345" s="4"/>
    </row>
    <row r="346" spans="2:9" ht="15.75">
      <c r="B346" s="40"/>
      <c r="C346" s="40"/>
      <c r="D346" s="4"/>
      <c r="E346" s="40"/>
      <c r="F346" s="40"/>
      <c r="G346" s="4"/>
      <c r="H346" s="40"/>
      <c r="I346" s="4"/>
    </row>
    <row r="347" spans="2:9" ht="15.75">
      <c r="B347" s="40"/>
      <c r="C347" s="40"/>
      <c r="D347" s="4"/>
      <c r="E347" s="40"/>
      <c r="F347" s="40"/>
      <c r="G347" s="4"/>
      <c r="H347" s="40"/>
      <c r="I347" s="4"/>
    </row>
    <row r="348" spans="2:9" ht="15.75">
      <c r="B348" s="40"/>
      <c r="C348" s="40"/>
      <c r="D348" s="4"/>
      <c r="E348" s="40"/>
      <c r="F348" s="40"/>
      <c r="G348" s="4"/>
      <c r="H348" s="40"/>
      <c r="I348" s="4"/>
    </row>
    <row r="349" spans="2:9" ht="15.75">
      <c r="B349" s="40"/>
      <c r="C349" s="40"/>
      <c r="D349" s="4"/>
      <c r="E349" s="40"/>
      <c r="F349" s="40"/>
      <c r="G349" s="4"/>
      <c r="H349" s="40"/>
      <c r="I349" s="4"/>
    </row>
    <row r="350" spans="2:9" ht="15.75">
      <c r="B350" s="40"/>
      <c r="C350" s="40"/>
      <c r="D350" s="4"/>
      <c r="E350" s="40"/>
      <c r="F350" s="40"/>
      <c r="G350" s="4"/>
      <c r="H350" s="40"/>
      <c r="I350" s="4"/>
    </row>
    <row r="351" spans="2:9" ht="15.75">
      <c r="B351" s="4"/>
      <c r="C351" s="4"/>
      <c r="D351" s="4"/>
      <c r="E351" s="4"/>
      <c r="F351" s="4"/>
      <c r="G351" s="4"/>
      <c r="H351" s="8"/>
      <c r="I351" s="4"/>
    </row>
    <row r="352" spans="2:9" ht="15.75">
      <c r="B352" s="41" t="s">
        <v>10</v>
      </c>
      <c r="C352" s="41"/>
      <c r="D352" s="4"/>
      <c r="E352" s="4"/>
      <c r="F352" s="4"/>
      <c r="G352" s="4"/>
      <c r="H352" s="4"/>
      <c r="I352" s="4"/>
    </row>
    <row r="353" spans="2:9" ht="15.75">
      <c r="B353" s="41" t="s">
        <v>70</v>
      </c>
      <c r="C353" s="41"/>
      <c r="D353" s="4"/>
      <c r="E353" s="4"/>
      <c r="F353" s="4"/>
      <c r="G353" s="4"/>
      <c r="H353" s="40"/>
      <c r="I353" s="4"/>
    </row>
    <row r="354" spans="2:9" ht="15.75">
      <c r="B354" s="41" t="s">
        <v>71</v>
      </c>
      <c r="C354" s="41"/>
      <c r="D354" s="4"/>
      <c r="E354" s="4"/>
      <c r="F354" s="4"/>
      <c r="G354" s="4"/>
      <c r="H354" s="4"/>
      <c r="I354" s="4"/>
    </row>
    <row r="355" spans="2:9" ht="15.75">
      <c r="B355" s="41" t="s">
        <v>72</v>
      </c>
      <c r="C355" s="41"/>
      <c r="D355" s="4"/>
      <c r="E355" s="4"/>
      <c r="F355" s="4"/>
      <c r="G355" s="4"/>
      <c r="H355" s="4"/>
      <c r="I355" s="4"/>
    </row>
    <row r="356" spans="2:9" ht="15.75">
      <c r="B356" s="41" t="s">
        <v>73</v>
      </c>
      <c r="C356" s="41"/>
      <c r="D356" s="4"/>
      <c r="E356" s="4"/>
      <c r="F356" s="4"/>
      <c r="G356" s="4"/>
      <c r="H356" s="4"/>
      <c r="I356" s="4"/>
    </row>
    <row r="357" spans="2:9">
      <c r="F357" s="33"/>
      <c r="G357" s="33"/>
      <c r="H357" s="33"/>
      <c r="I357" s="33"/>
    </row>
  </sheetData>
  <mergeCells count="35">
    <mergeCell ref="B239:F239"/>
    <mergeCell ref="A1:H1"/>
    <mergeCell ref="B2:H2"/>
    <mergeCell ref="B3:C3"/>
    <mergeCell ref="B5:F5"/>
    <mergeCell ref="B16:D16"/>
    <mergeCell ref="B115:I115"/>
    <mergeCell ref="B116:I116"/>
    <mergeCell ref="B163:I163"/>
    <mergeCell ref="B164:H164"/>
    <mergeCell ref="B81:H81"/>
    <mergeCell ref="B166:C166"/>
    <mergeCell ref="A222:H222"/>
    <mergeCell ref="B223:H223"/>
    <mergeCell ref="B225:C225"/>
    <mergeCell ref="B82:C82"/>
    <mergeCell ref="B93:G93"/>
    <mergeCell ref="B117:C117"/>
    <mergeCell ref="B127:G127"/>
    <mergeCell ref="H172:I172"/>
    <mergeCell ref="A42:H42"/>
    <mergeCell ref="B43:H43"/>
    <mergeCell ref="B44:C44"/>
    <mergeCell ref="B61:G61"/>
    <mergeCell ref="A80:H80"/>
    <mergeCell ref="B336:D336"/>
    <mergeCell ref="A273:H273"/>
    <mergeCell ref="B274:H274"/>
    <mergeCell ref="B275:C275"/>
    <mergeCell ref="B277:F277"/>
    <mergeCell ref="B292:D292"/>
    <mergeCell ref="A327:H327"/>
    <mergeCell ref="B328:H328"/>
    <mergeCell ref="B329:C329"/>
    <mergeCell ref="B331:F331"/>
  </mergeCells>
  <phoneticPr fontId="2" type="noConversion"/>
  <printOptions horizontalCentered="1"/>
  <pageMargins left="0.15748031496063" right="0" top="0.98425196850393704" bottom="0" header="0.511811023622047" footer="0.511811023622047"/>
  <pageSetup paperSize="9" scale="73" orientation="portrait" r:id="rId1"/>
  <headerFooter alignWithMargins="0">
    <oddFooter>Page &amp;P of &amp;N</oddFooter>
  </headerFooter>
  <rowBreaks count="1" manualBreakCount="1">
    <brk id="41" max="9" man="1"/>
  </rowBreak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M548"/>
  <sheetViews>
    <sheetView view="pageBreakPreview" topLeftCell="A319" zoomScale="80" zoomScaleSheetLayoutView="80" workbookViewId="0">
      <selection activeCell="H381" sqref="H381"/>
    </sheetView>
  </sheetViews>
  <sheetFormatPr defaultColWidth="9.140625" defaultRowHeight="12.75"/>
  <cols>
    <col min="1" max="1" width="2.42578125" style="102" customWidth="1"/>
    <col min="2" max="2" width="10" style="102" customWidth="1"/>
    <col min="3" max="3" width="9.140625" style="102"/>
    <col min="4" max="4" width="11.85546875" style="102" customWidth="1"/>
    <col min="5" max="5" width="14.42578125" style="102" bestFit="1" customWidth="1"/>
    <col min="6" max="6" width="14.42578125" style="102" customWidth="1"/>
    <col min="7" max="7" width="11.85546875" style="102" customWidth="1"/>
    <col min="8" max="9" width="11.28515625" style="102" customWidth="1"/>
    <col min="10" max="10" width="9.28515625" style="132" customWidth="1"/>
    <col min="11" max="11" width="6.42578125" style="102" customWidth="1"/>
    <col min="12" max="16384" width="9.140625" style="102"/>
  </cols>
  <sheetData>
    <row r="1" spans="2:9" ht="25.5">
      <c r="B1" s="842" t="s">
        <v>90</v>
      </c>
      <c r="C1" s="842"/>
      <c r="D1" s="842"/>
      <c r="E1" s="842"/>
      <c r="F1" s="842"/>
      <c r="G1" s="842"/>
      <c r="H1" s="842"/>
      <c r="I1" s="101"/>
    </row>
    <row r="2" spans="2:9" ht="18.75">
      <c r="B2" s="856" t="s">
        <v>188</v>
      </c>
      <c r="C2" s="856"/>
      <c r="D2" s="856"/>
      <c r="E2" s="856"/>
      <c r="F2" s="856"/>
      <c r="G2" s="856"/>
      <c r="H2" s="103" t="s">
        <v>115</v>
      </c>
      <c r="I2" s="104">
        <v>43676</v>
      </c>
    </row>
    <row r="3" spans="2:9" ht="15">
      <c r="B3" s="11"/>
      <c r="C3" s="11"/>
      <c r="D3" s="11"/>
      <c r="E3" s="11"/>
      <c r="F3" s="11"/>
      <c r="G3" s="11"/>
      <c r="H3" s="11"/>
      <c r="I3" s="11"/>
    </row>
    <row r="4" spans="2:9" ht="27" customHeight="1">
      <c r="B4" s="836" t="s">
        <v>114</v>
      </c>
      <c r="C4" s="866"/>
      <c r="D4" s="866"/>
      <c r="E4" s="866"/>
      <c r="F4" s="837"/>
      <c r="G4" s="105" t="s">
        <v>113</v>
      </c>
      <c r="H4" s="106" t="s">
        <v>4</v>
      </c>
      <c r="I4" s="88" t="s">
        <v>112</v>
      </c>
    </row>
    <row r="5" spans="2:9" ht="15.75">
      <c r="B5" s="846" t="s">
        <v>111</v>
      </c>
      <c r="C5" s="847"/>
      <c r="D5" s="847"/>
      <c r="E5" s="847"/>
      <c r="F5" s="848"/>
      <c r="G5" s="107"/>
      <c r="H5" s="108"/>
      <c r="I5" s="107"/>
    </row>
    <row r="6" spans="2:9" ht="19.5">
      <c r="B6" s="864" t="s">
        <v>110</v>
      </c>
      <c r="C6" s="865"/>
      <c r="D6" s="865"/>
      <c r="E6" s="109" t="str">
        <f>G139</f>
        <v>639/640</v>
      </c>
      <c r="F6" s="110"/>
      <c r="G6" s="111"/>
      <c r="H6" s="111"/>
      <c r="I6" s="62"/>
    </row>
    <row r="7" spans="2:9" ht="18.75">
      <c r="B7" s="112"/>
      <c r="C7" s="113"/>
      <c r="D7" s="113"/>
      <c r="E7" s="109" t="str">
        <f>G140</f>
        <v>53100-31</v>
      </c>
      <c r="F7" s="114"/>
      <c r="G7" s="107"/>
      <c r="H7" s="107"/>
      <c r="I7" s="107"/>
    </row>
    <row r="8" spans="2:9" ht="15.75">
      <c r="B8" s="846"/>
      <c r="C8" s="847"/>
      <c r="D8" s="847"/>
      <c r="E8" s="847"/>
      <c r="F8" s="848"/>
      <c r="G8" s="107"/>
      <c r="H8" s="107"/>
      <c r="I8" s="107"/>
    </row>
    <row r="9" spans="2:9" ht="15.75">
      <c r="B9" s="857"/>
      <c r="C9" s="858"/>
      <c r="D9" s="858"/>
      <c r="E9" s="858"/>
      <c r="F9" s="858"/>
      <c r="G9" s="107"/>
      <c r="H9" s="107"/>
      <c r="I9" s="107"/>
    </row>
    <row r="10" spans="2:9" ht="15.75">
      <c r="B10" s="859"/>
      <c r="C10" s="860"/>
      <c r="D10" s="860"/>
      <c r="E10" s="860"/>
      <c r="F10" s="860"/>
      <c r="G10" s="4" t="s">
        <v>5</v>
      </c>
      <c r="H10" s="108"/>
      <c r="I10" s="107"/>
    </row>
    <row r="11" spans="2:9" ht="19.5">
      <c r="B11" s="876" t="s">
        <v>189</v>
      </c>
      <c r="C11" s="877"/>
      <c r="D11" s="877"/>
      <c r="E11" s="877"/>
      <c r="F11" s="878"/>
      <c r="G11" s="115">
        <v>110</v>
      </c>
      <c r="H11" s="116">
        <f>'Nov 2020'!AJ27</f>
        <v>372104</v>
      </c>
      <c r="I11" s="117"/>
    </row>
    <row r="12" spans="2:9" ht="15.75">
      <c r="B12" s="846" t="s">
        <v>122</v>
      </c>
      <c r="C12" s="847"/>
      <c r="D12" s="847"/>
      <c r="E12" s="847"/>
      <c r="F12" s="848"/>
      <c r="G12" s="107"/>
      <c r="I12" s="117"/>
    </row>
    <row r="13" spans="2:9" ht="15.75">
      <c r="B13" s="118" t="str">
        <f>'Nov 2020'!U4</f>
        <v>November 2020</v>
      </c>
      <c r="C13" s="119"/>
      <c r="D13" s="119"/>
      <c r="E13" s="119"/>
      <c r="F13" s="120"/>
      <c r="G13" s="107"/>
      <c r="H13" s="121"/>
      <c r="I13" s="117"/>
    </row>
    <row r="14" spans="2:9" ht="15.75">
      <c r="B14" s="843"/>
      <c r="C14" s="844"/>
      <c r="D14" s="844"/>
      <c r="E14" s="844"/>
      <c r="F14" s="845"/>
      <c r="G14" s="107"/>
      <c r="H14" s="121"/>
      <c r="I14" s="117"/>
    </row>
    <row r="15" spans="2:9" ht="15.75">
      <c r="B15" s="843"/>
      <c r="C15" s="844"/>
      <c r="D15" s="844"/>
      <c r="E15" s="844"/>
      <c r="F15" s="845"/>
      <c r="G15" s="107"/>
      <c r="H15" s="121"/>
      <c r="I15" s="117"/>
    </row>
    <row r="16" spans="2:9" ht="15.75">
      <c r="B16" s="122"/>
      <c r="C16" s="123"/>
      <c r="D16" s="123"/>
      <c r="E16" s="123"/>
      <c r="F16" s="124"/>
      <c r="G16" s="11" t="s">
        <v>5</v>
      </c>
      <c r="H16" s="125">
        <f>H11</f>
        <v>372104</v>
      </c>
      <c r="I16" s="117"/>
    </row>
    <row r="17" spans="2:9" ht="19.5">
      <c r="B17" s="126" t="s">
        <v>107</v>
      </c>
      <c r="C17" s="127"/>
      <c r="D17" s="128" t="str">
        <f>spellnumber(H16)</f>
        <v>Three Hundred Seventy Two Thousand One Hundred Four Taka and No Paisa</v>
      </c>
      <c r="E17" s="127"/>
      <c r="F17" s="127"/>
      <c r="G17" s="127"/>
      <c r="H17" s="127"/>
      <c r="I17" s="129"/>
    </row>
    <row r="18" spans="2:9" ht="15">
      <c r="B18" s="11"/>
      <c r="C18" s="11"/>
      <c r="D18" s="11"/>
      <c r="E18" s="11"/>
      <c r="F18" s="11"/>
      <c r="G18" s="11"/>
      <c r="H18" s="11"/>
      <c r="I18" s="11"/>
    </row>
    <row r="19" spans="2:9" ht="15">
      <c r="B19" s="130" t="s">
        <v>106</v>
      </c>
      <c r="C19" s="11"/>
      <c r="D19" s="11"/>
      <c r="E19" s="11"/>
      <c r="F19" s="11"/>
      <c r="G19" s="11"/>
      <c r="H19" s="11"/>
      <c r="I19" s="11"/>
    </row>
    <row r="20" spans="2:9" ht="15">
      <c r="B20" s="11"/>
      <c r="C20" s="11"/>
      <c r="D20" s="11"/>
      <c r="E20" s="11"/>
      <c r="F20" s="11"/>
      <c r="G20" s="11"/>
      <c r="H20" s="11"/>
      <c r="I20" s="11"/>
    </row>
    <row r="21" spans="2:9" ht="15">
      <c r="B21" s="131" t="s">
        <v>121</v>
      </c>
      <c r="C21" s="11"/>
      <c r="D21" s="11"/>
      <c r="E21" s="11"/>
      <c r="F21" s="130"/>
      <c r="G21" s="130"/>
      <c r="H21" s="130"/>
      <c r="I21" s="130"/>
    </row>
    <row r="22" spans="2:9">
      <c r="B22" s="1"/>
      <c r="C22" s="1"/>
      <c r="D22" s="1"/>
      <c r="E22" s="1"/>
      <c r="F22" s="1"/>
      <c r="G22" s="1"/>
      <c r="H22" s="1"/>
      <c r="I22" s="1"/>
    </row>
    <row r="23" spans="2:9">
      <c r="B23" s="1"/>
      <c r="C23" s="1"/>
      <c r="D23" s="1"/>
      <c r="E23" s="1"/>
      <c r="F23" s="1"/>
      <c r="G23" s="1"/>
      <c r="H23" s="1"/>
      <c r="I23" s="1"/>
    </row>
    <row r="24" spans="2:9">
      <c r="B24" s="1"/>
      <c r="C24" s="1"/>
      <c r="D24" s="1"/>
      <c r="E24" s="1"/>
      <c r="F24" s="1"/>
      <c r="G24" s="1"/>
      <c r="H24" s="1"/>
      <c r="I24" s="1"/>
    </row>
    <row r="25" spans="2:9" ht="25.5">
      <c r="B25" s="133" t="s">
        <v>90</v>
      </c>
      <c r="C25" s="133"/>
      <c r="D25" s="133"/>
      <c r="E25" s="133"/>
      <c r="F25" s="133"/>
      <c r="G25" s="133"/>
      <c r="H25" s="133"/>
      <c r="I25" s="101"/>
    </row>
    <row r="26" spans="2:9" ht="18.75">
      <c r="B26" s="856" t="s">
        <v>188</v>
      </c>
      <c r="C26" s="856"/>
      <c r="D26" s="856"/>
      <c r="E26" s="856"/>
      <c r="F26" s="856"/>
      <c r="G26" s="856"/>
      <c r="H26" s="103" t="s">
        <v>115</v>
      </c>
      <c r="I26" s="134">
        <f>I2</f>
        <v>43676</v>
      </c>
    </row>
    <row r="27" spans="2:9" ht="15">
      <c r="B27" s="11"/>
      <c r="C27" s="11"/>
      <c r="D27" s="11"/>
      <c r="E27" s="11"/>
      <c r="F27" s="11"/>
      <c r="G27" s="11"/>
      <c r="H27" s="11"/>
      <c r="I27" s="11"/>
    </row>
    <row r="28" spans="2:9" ht="25.5">
      <c r="B28" s="836" t="s">
        <v>114</v>
      </c>
      <c r="C28" s="866"/>
      <c r="D28" s="866"/>
      <c r="E28" s="866"/>
      <c r="F28" s="837"/>
      <c r="G28" s="105" t="s">
        <v>113</v>
      </c>
      <c r="H28" s="106"/>
      <c r="I28" s="88" t="s">
        <v>112</v>
      </c>
    </row>
    <row r="29" spans="2:9" ht="18.75">
      <c r="B29" s="135" t="s">
        <v>111</v>
      </c>
      <c r="C29" s="136"/>
      <c r="D29" s="137"/>
      <c r="E29" s="137"/>
      <c r="F29" s="138"/>
      <c r="G29" s="107"/>
      <c r="H29" s="108"/>
      <c r="I29" s="107"/>
    </row>
    <row r="30" spans="2:9" ht="18.75">
      <c r="B30" s="864" t="s">
        <v>110</v>
      </c>
      <c r="C30" s="865"/>
      <c r="D30" s="865"/>
      <c r="E30" s="109" t="str">
        <f>G139</f>
        <v>639/640</v>
      </c>
      <c r="F30" s="110"/>
      <c r="G30" s="107"/>
      <c r="H30" s="139"/>
      <c r="I30" s="62"/>
    </row>
    <row r="31" spans="2:9" ht="18.75">
      <c r="B31" s="140"/>
      <c r="C31" s="113"/>
      <c r="D31" s="113"/>
      <c r="E31" s="109" t="str">
        <f>G140</f>
        <v>53100-31</v>
      </c>
      <c r="F31" s="114"/>
      <c r="G31" s="107"/>
      <c r="H31" s="139"/>
      <c r="I31" s="107"/>
    </row>
    <row r="32" spans="2:9" ht="15.75">
      <c r="B32" s="140"/>
      <c r="C32" s="113"/>
      <c r="D32" s="113"/>
      <c r="E32" s="113"/>
      <c r="F32" s="114"/>
      <c r="G32" s="107"/>
      <c r="H32" s="139"/>
      <c r="I32" s="107"/>
    </row>
    <row r="33" spans="2:9" ht="15.75">
      <c r="B33" s="141"/>
      <c r="C33" s="142"/>
      <c r="D33" s="142"/>
      <c r="E33" s="142"/>
      <c r="F33" s="142"/>
      <c r="G33" s="4" t="s">
        <v>5</v>
      </c>
      <c r="H33" s="143"/>
      <c r="I33" s="107"/>
    </row>
    <row r="34" spans="2:9" ht="19.5">
      <c r="B34" s="876" t="s">
        <v>190</v>
      </c>
      <c r="C34" s="877"/>
      <c r="D34" s="877"/>
      <c r="E34" s="877"/>
      <c r="F34" s="878"/>
      <c r="G34" s="115">
        <v>216</v>
      </c>
      <c r="H34" s="144">
        <f>'Nov 2020'!AA27</f>
        <v>101031</v>
      </c>
      <c r="I34" s="117"/>
    </row>
    <row r="35" spans="2:9" ht="18.75">
      <c r="B35" s="145" t="s">
        <v>191</v>
      </c>
      <c r="C35" s="136"/>
      <c r="D35" s="136"/>
      <c r="E35" s="109"/>
      <c r="F35" s="110"/>
      <c r="G35" s="146"/>
      <c r="H35" s="116"/>
      <c r="I35" s="117"/>
    </row>
    <row r="36" spans="2:9" ht="25.5" customHeight="1">
      <c r="B36" s="147" t="str">
        <f>'Nov 2020'!U4</f>
        <v>November 2020</v>
      </c>
      <c r="C36" s="128"/>
      <c r="D36" s="128"/>
      <c r="E36" s="128"/>
      <c r="F36" s="148"/>
      <c r="G36" s="146"/>
      <c r="H36" s="116"/>
      <c r="I36" s="117"/>
    </row>
    <row r="37" spans="2:9" ht="18.75">
      <c r="B37" s="147"/>
      <c r="C37" s="128"/>
      <c r="D37" s="128"/>
      <c r="E37" s="128"/>
      <c r="F37" s="128"/>
      <c r="G37" s="146"/>
      <c r="H37" s="116"/>
      <c r="I37" s="117"/>
    </row>
    <row r="38" spans="2:9" ht="18.75">
      <c r="B38" s="140"/>
      <c r="C38" s="128"/>
      <c r="D38" s="128"/>
      <c r="E38" s="128"/>
      <c r="F38" s="128"/>
      <c r="G38" s="146"/>
      <c r="H38" s="116"/>
      <c r="I38" s="117"/>
    </row>
    <row r="39" spans="2:9" ht="15.75">
      <c r="B39" s="122"/>
      <c r="C39" s="123"/>
      <c r="D39" s="123"/>
      <c r="E39" s="123"/>
      <c r="F39" s="124"/>
      <c r="G39" s="11" t="s">
        <v>5</v>
      </c>
      <c r="H39" s="125">
        <f>H34</f>
        <v>101031</v>
      </c>
      <c r="I39" s="117"/>
    </row>
    <row r="40" spans="2:9" ht="19.5">
      <c r="B40" s="149" t="s">
        <v>107</v>
      </c>
      <c r="C40" s="127"/>
      <c r="D40" s="128" t="str">
        <f>spellnumber(H39)</f>
        <v>One Hundred One Thousand Thirty One Taka and No Paisa</v>
      </c>
      <c r="E40" s="127"/>
      <c r="F40" s="127"/>
      <c r="G40" s="127"/>
      <c r="H40" s="127"/>
      <c r="I40" s="129"/>
    </row>
    <row r="41" spans="2:9" ht="15">
      <c r="B41" s="11"/>
      <c r="C41" s="11"/>
      <c r="D41" s="11"/>
      <c r="E41" s="11"/>
      <c r="F41" s="11"/>
      <c r="G41" s="11"/>
      <c r="H41" s="11"/>
      <c r="I41" s="11"/>
    </row>
    <row r="42" spans="2:9" ht="15">
      <c r="B42" s="130" t="s">
        <v>106</v>
      </c>
      <c r="C42" s="11"/>
      <c r="D42" s="11"/>
      <c r="E42" s="11"/>
      <c r="F42" s="11"/>
      <c r="G42" s="11"/>
      <c r="H42" s="11"/>
      <c r="I42" s="11"/>
    </row>
    <row r="43" spans="2:9" ht="15">
      <c r="B43" s="11"/>
      <c r="C43" s="11"/>
      <c r="D43" s="11"/>
      <c r="E43" s="11"/>
      <c r="F43" s="11"/>
      <c r="G43" s="11"/>
      <c r="H43" s="11"/>
      <c r="I43" s="11"/>
    </row>
    <row r="44" spans="2:9" ht="15">
      <c r="B44" s="131" t="str">
        <f>B21</f>
        <v>Transfer Scroll No. …………                       Officer / Sr. Officer                         Principal Officer</v>
      </c>
      <c r="C44" s="11"/>
      <c r="D44" s="11"/>
      <c r="E44" s="11"/>
      <c r="F44" s="130"/>
      <c r="G44" s="130"/>
      <c r="H44" s="130"/>
      <c r="I44" s="130"/>
    </row>
    <row r="46" spans="2:9" ht="25.5">
      <c r="B46" s="842" t="s">
        <v>90</v>
      </c>
      <c r="C46" s="842"/>
      <c r="D46" s="842"/>
      <c r="E46" s="842"/>
      <c r="F46" s="842"/>
      <c r="G46" s="842"/>
      <c r="H46" s="842"/>
      <c r="I46" s="842"/>
    </row>
    <row r="47" spans="2:9" ht="18.75">
      <c r="B47" s="856" t="s">
        <v>188</v>
      </c>
      <c r="C47" s="856"/>
      <c r="D47" s="856"/>
      <c r="E47" s="856"/>
      <c r="F47" s="856"/>
      <c r="G47" s="856"/>
      <c r="H47" s="103" t="s">
        <v>115</v>
      </c>
      <c r="I47" s="104">
        <f>I2</f>
        <v>43676</v>
      </c>
    </row>
    <row r="48" spans="2:9" ht="15">
      <c r="B48" s="11"/>
      <c r="C48" s="11"/>
      <c r="D48" s="11"/>
      <c r="E48" s="11"/>
      <c r="F48" s="11"/>
      <c r="G48" s="11"/>
      <c r="H48" s="11"/>
      <c r="I48" s="11"/>
    </row>
    <row r="49" spans="2:9" ht="25.5">
      <c r="B49" s="836" t="s">
        <v>114</v>
      </c>
      <c r="C49" s="866"/>
      <c r="D49" s="866"/>
      <c r="E49" s="866"/>
      <c r="F49" s="837"/>
      <c r="G49" s="105" t="s">
        <v>113</v>
      </c>
      <c r="H49" s="106"/>
      <c r="I49" s="88" t="s">
        <v>112</v>
      </c>
    </row>
    <row r="50" spans="2:9" ht="15.75">
      <c r="B50" s="846" t="s">
        <v>111</v>
      </c>
      <c r="C50" s="847"/>
      <c r="D50" s="847"/>
      <c r="E50" s="847"/>
      <c r="F50" s="848"/>
      <c r="G50" s="107"/>
      <c r="H50" s="108"/>
      <c r="I50" s="107"/>
    </row>
    <row r="51" spans="2:9" ht="19.5">
      <c r="B51" s="864" t="s">
        <v>110</v>
      </c>
      <c r="C51" s="865"/>
      <c r="D51" s="865"/>
      <c r="E51" s="109" t="str">
        <f>G139</f>
        <v>639/640</v>
      </c>
      <c r="F51" s="110"/>
      <c r="G51" s="111"/>
      <c r="H51" s="111"/>
      <c r="I51" s="62"/>
    </row>
    <row r="52" spans="2:9" ht="18.75">
      <c r="B52" s="112"/>
      <c r="C52" s="113"/>
      <c r="D52" s="113"/>
      <c r="E52" s="109" t="str">
        <f>G140</f>
        <v>53100-31</v>
      </c>
      <c r="F52" s="114"/>
      <c r="G52" s="107"/>
      <c r="H52" s="107"/>
      <c r="I52" s="107"/>
    </row>
    <row r="53" spans="2:9" ht="15.75">
      <c r="B53" s="150"/>
      <c r="C53" s="151"/>
      <c r="D53" s="151"/>
      <c r="E53" s="151"/>
      <c r="F53" s="152"/>
      <c r="G53" s="107"/>
      <c r="H53" s="107"/>
      <c r="I53" s="107"/>
    </row>
    <row r="54" spans="2:9" ht="15.75">
      <c r="B54" s="857"/>
      <c r="C54" s="858"/>
      <c r="D54" s="858"/>
      <c r="E54" s="858"/>
      <c r="F54" s="858"/>
      <c r="G54" s="107"/>
      <c r="H54" s="107"/>
      <c r="I54" s="107"/>
    </row>
    <row r="55" spans="2:9" ht="15.75">
      <c r="B55" s="859"/>
      <c r="C55" s="860"/>
      <c r="D55" s="860"/>
      <c r="E55" s="860"/>
      <c r="F55" s="860"/>
      <c r="G55" s="4" t="s">
        <v>5</v>
      </c>
      <c r="H55" s="108"/>
      <c r="I55" s="107"/>
    </row>
    <row r="56" spans="2:9" ht="19.5">
      <c r="B56" s="876" t="s">
        <v>192</v>
      </c>
      <c r="C56" s="877"/>
      <c r="D56" s="877"/>
      <c r="E56" s="877"/>
      <c r="F56" s="878"/>
      <c r="G56" s="115" t="s">
        <v>120</v>
      </c>
      <c r="H56" s="116">
        <f>'Nov 2020'!AF27</f>
        <v>3390</v>
      </c>
      <c r="I56" s="117"/>
    </row>
    <row r="57" spans="2:9" ht="15.75">
      <c r="B57" s="861" t="s">
        <v>119</v>
      </c>
      <c r="C57" s="862"/>
      <c r="D57" s="862"/>
      <c r="E57" s="862"/>
      <c r="F57" s="863"/>
      <c r="G57" s="153" t="s">
        <v>156</v>
      </c>
      <c r="I57" s="117"/>
    </row>
    <row r="58" spans="2:9" ht="15.75">
      <c r="B58" s="154" t="s">
        <v>118</v>
      </c>
      <c r="C58" s="119" t="str">
        <f>'Nov 2020'!U4</f>
        <v>November 2020</v>
      </c>
      <c r="D58" s="119"/>
      <c r="E58" s="155"/>
      <c r="F58" s="120"/>
      <c r="G58" s="107"/>
      <c r="H58" s="116"/>
      <c r="I58" s="117"/>
    </row>
    <row r="59" spans="2:9" ht="15.75">
      <c r="B59" s="849"/>
      <c r="C59" s="850"/>
      <c r="D59" s="850"/>
      <c r="E59" s="850"/>
      <c r="F59" s="851"/>
      <c r="G59" s="107"/>
      <c r="H59" s="116"/>
      <c r="I59" s="117"/>
    </row>
    <row r="60" spans="2:9" ht="33.75" customHeight="1">
      <c r="B60" s="843"/>
      <c r="C60" s="844"/>
      <c r="D60" s="844"/>
      <c r="E60" s="844"/>
      <c r="F60" s="845"/>
      <c r="G60" s="107"/>
      <c r="H60" s="116"/>
      <c r="I60" s="117"/>
    </row>
    <row r="61" spans="2:9" ht="15.75">
      <c r="B61" s="122"/>
      <c r="C61" s="123"/>
      <c r="D61" s="123"/>
      <c r="E61" s="123"/>
      <c r="F61" s="124"/>
      <c r="G61" s="11" t="s">
        <v>5</v>
      </c>
      <c r="H61" s="125">
        <f>H56</f>
        <v>3390</v>
      </c>
      <c r="I61" s="117"/>
    </row>
    <row r="62" spans="2:9" ht="19.5">
      <c r="B62" s="126" t="s">
        <v>107</v>
      </c>
      <c r="C62" s="127"/>
      <c r="D62" s="128" t="str">
        <f>spellnumber(H61)</f>
        <v>Three Thousand Three Hundred Ninety  Taka and No Paisa</v>
      </c>
      <c r="E62" s="127"/>
      <c r="F62" s="127"/>
      <c r="G62" s="127"/>
      <c r="H62" s="127"/>
      <c r="I62" s="129"/>
    </row>
    <row r="63" spans="2:9" ht="15">
      <c r="B63" s="11"/>
      <c r="C63" s="11"/>
      <c r="D63" s="11"/>
      <c r="E63" s="11"/>
      <c r="F63" s="11"/>
      <c r="G63" s="11"/>
      <c r="H63" s="11"/>
      <c r="I63" s="11"/>
    </row>
    <row r="64" spans="2:9" ht="15">
      <c r="B64" s="130" t="s">
        <v>106</v>
      </c>
      <c r="C64" s="11"/>
      <c r="D64" s="11"/>
      <c r="E64" s="11"/>
      <c r="F64" s="11"/>
      <c r="G64" s="11"/>
      <c r="H64" s="11"/>
      <c r="I64" s="11"/>
    </row>
    <row r="65" spans="2:9" ht="15">
      <c r="B65" s="11"/>
      <c r="C65" s="11"/>
      <c r="D65" s="11"/>
      <c r="E65" s="11"/>
      <c r="F65" s="11"/>
      <c r="G65" s="11"/>
      <c r="H65" s="11"/>
      <c r="I65" s="11"/>
    </row>
    <row r="66" spans="2:9" ht="15">
      <c r="B66" s="131" t="str">
        <f>B21</f>
        <v>Transfer Scroll No. …………                       Officer / Sr. Officer                         Principal Officer</v>
      </c>
      <c r="C66" s="11"/>
      <c r="D66" s="11"/>
      <c r="E66" s="11"/>
      <c r="F66" s="130"/>
      <c r="G66" s="130"/>
      <c r="H66" s="130"/>
      <c r="I66" s="130"/>
    </row>
    <row r="67" spans="2:9" ht="15">
      <c r="B67" s="131"/>
      <c r="C67" s="11"/>
      <c r="D67" s="11"/>
      <c r="E67" s="11"/>
      <c r="F67" s="130"/>
      <c r="G67" s="130"/>
      <c r="H67" s="130"/>
      <c r="I67" s="130"/>
    </row>
    <row r="68" spans="2:9">
      <c r="B68" s="1"/>
      <c r="C68" s="1"/>
      <c r="D68" s="1"/>
      <c r="E68" s="1"/>
      <c r="F68" s="1"/>
      <c r="G68" s="1"/>
      <c r="H68" s="1"/>
      <c r="I68" s="1"/>
    </row>
    <row r="69" spans="2:9" ht="25.5">
      <c r="B69" s="842" t="s">
        <v>90</v>
      </c>
      <c r="C69" s="842"/>
      <c r="D69" s="842"/>
      <c r="E69" s="842"/>
      <c r="F69" s="842"/>
      <c r="G69" s="842"/>
      <c r="H69" s="842"/>
      <c r="I69" s="842"/>
    </row>
    <row r="70" spans="2:9" ht="18.75">
      <c r="B70" s="856" t="s">
        <v>188</v>
      </c>
      <c r="C70" s="856"/>
      <c r="D70" s="856"/>
      <c r="E70" s="856"/>
      <c r="F70" s="856"/>
      <c r="G70" s="856"/>
      <c r="H70" s="103" t="s">
        <v>115</v>
      </c>
      <c r="I70" s="134">
        <f>I2</f>
        <v>43676</v>
      </c>
    </row>
    <row r="71" spans="2:9" ht="15">
      <c r="B71" s="11"/>
      <c r="C71" s="11"/>
      <c r="D71" s="11"/>
      <c r="E71" s="11"/>
      <c r="F71" s="11"/>
      <c r="G71" s="11"/>
      <c r="H71" s="11"/>
      <c r="I71" s="11"/>
    </row>
    <row r="72" spans="2:9" ht="25.5">
      <c r="B72" s="836" t="s">
        <v>114</v>
      </c>
      <c r="C72" s="866"/>
      <c r="D72" s="866"/>
      <c r="E72" s="866"/>
      <c r="F72" s="837"/>
      <c r="G72" s="105" t="s">
        <v>113</v>
      </c>
      <c r="H72" s="106"/>
      <c r="I72" s="88" t="s">
        <v>112</v>
      </c>
    </row>
    <row r="73" spans="2:9" ht="18.75">
      <c r="B73" s="135" t="s">
        <v>111</v>
      </c>
      <c r="C73" s="136"/>
      <c r="D73" s="137"/>
      <c r="E73" s="137"/>
      <c r="F73" s="138"/>
      <c r="G73" s="107"/>
      <c r="H73" s="108"/>
      <c r="I73" s="107"/>
    </row>
    <row r="74" spans="2:9" ht="18.75">
      <c r="B74" s="864" t="s">
        <v>110</v>
      </c>
      <c r="C74" s="865"/>
      <c r="D74" s="865"/>
      <c r="E74" s="109" t="str">
        <f>G139</f>
        <v>639/640</v>
      </c>
      <c r="F74" s="110"/>
      <c r="G74" s="107"/>
      <c r="H74" s="139"/>
      <c r="I74" s="62"/>
    </row>
    <row r="75" spans="2:9" ht="18.75">
      <c r="B75" s="140"/>
      <c r="C75" s="113"/>
      <c r="D75" s="113"/>
      <c r="E75" s="109" t="str">
        <f>G140</f>
        <v>53100-31</v>
      </c>
      <c r="F75" s="114"/>
      <c r="G75" s="107"/>
      <c r="H75" s="139"/>
      <c r="I75" s="107"/>
    </row>
    <row r="76" spans="2:9" ht="15.75">
      <c r="B76" s="140"/>
      <c r="C76" s="113"/>
      <c r="D76" s="113"/>
      <c r="E76" s="113"/>
      <c r="F76" s="114"/>
      <c r="G76" s="107"/>
      <c r="H76" s="139"/>
      <c r="I76" s="107"/>
    </row>
    <row r="77" spans="2:9" ht="15.75">
      <c r="B77" s="140"/>
      <c r="C77" s="113"/>
      <c r="D77" s="113"/>
      <c r="E77" s="113"/>
      <c r="F77" s="114"/>
      <c r="G77" s="107"/>
      <c r="H77" s="139"/>
      <c r="I77" s="107"/>
    </row>
    <row r="78" spans="2:9" ht="15.75">
      <c r="B78" s="141"/>
      <c r="C78" s="142"/>
      <c r="D78" s="142"/>
      <c r="E78" s="142"/>
      <c r="F78" s="142"/>
      <c r="G78" s="4" t="s">
        <v>5</v>
      </c>
      <c r="H78" s="143"/>
      <c r="I78" s="107"/>
    </row>
    <row r="79" spans="2:9" ht="19.5">
      <c r="B79" s="156" t="s">
        <v>193</v>
      </c>
      <c r="C79" s="113" t="s">
        <v>154</v>
      </c>
      <c r="D79" s="157"/>
      <c r="E79" s="157"/>
      <c r="F79" s="158"/>
      <c r="G79" s="115" t="s">
        <v>153</v>
      </c>
      <c r="H79" s="144">
        <f>'Nov 2020'!AH27</f>
        <v>140</v>
      </c>
      <c r="I79" s="117"/>
    </row>
    <row r="80" spans="2:9" ht="18.75">
      <c r="B80" s="135" t="s">
        <v>117</v>
      </c>
      <c r="C80" s="136"/>
      <c r="D80" s="136"/>
      <c r="E80" s="109"/>
      <c r="F80" s="110"/>
      <c r="G80" s="146" t="s">
        <v>152</v>
      </c>
      <c r="H80" s="116"/>
      <c r="I80" s="117"/>
    </row>
    <row r="81" spans="2:9" ht="18.75">
      <c r="B81" s="159" t="str">
        <f>'Nov 2020'!U4</f>
        <v>November 2020</v>
      </c>
      <c r="C81" s="128"/>
      <c r="D81" s="128"/>
      <c r="E81" s="128"/>
      <c r="F81" s="148"/>
      <c r="G81" s="146"/>
      <c r="H81" s="116"/>
      <c r="I81" s="117"/>
    </row>
    <row r="82" spans="2:9" ht="18.75">
      <c r="B82" s="147"/>
      <c r="C82" s="128"/>
      <c r="D82" s="128"/>
      <c r="E82" s="128"/>
      <c r="F82" s="128"/>
      <c r="G82" s="146"/>
      <c r="H82" s="116"/>
      <c r="I82" s="117"/>
    </row>
    <row r="83" spans="2:9" ht="18.75">
      <c r="B83" s="140"/>
      <c r="C83" s="128"/>
      <c r="D83" s="128"/>
      <c r="E83" s="128"/>
      <c r="F83" s="128"/>
      <c r="G83" s="146"/>
      <c r="H83" s="116"/>
      <c r="I83" s="117"/>
    </row>
    <row r="84" spans="2:9" ht="15.75">
      <c r="B84" s="122"/>
      <c r="C84" s="123"/>
      <c r="D84" s="123"/>
      <c r="E84" s="123"/>
      <c r="F84" s="124"/>
      <c r="G84" s="11" t="s">
        <v>5</v>
      </c>
      <c r="H84" s="125">
        <f>H79</f>
        <v>140</v>
      </c>
      <c r="I84" s="117"/>
    </row>
    <row r="85" spans="2:9" ht="19.5">
      <c r="B85" s="149" t="s">
        <v>107</v>
      </c>
      <c r="C85" s="127"/>
      <c r="D85" s="128" t="str">
        <f>spellnumber(H84)</f>
        <v>One Hundred Forty  Taka and No Paisa</v>
      </c>
      <c r="E85" s="127"/>
      <c r="F85" s="127"/>
      <c r="G85" s="127"/>
      <c r="H85" s="127"/>
      <c r="I85" s="129"/>
    </row>
    <row r="86" spans="2:9" ht="15">
      <c r="B86" s="11"/>
      <c r="C86" s="11"/>
      <c r="D86" s="11"/>
      <c r="E86" s="11"/>
      <c r="F86" s="11"/>
      <c r="G86" s="11"/>
      <c r="H86" s="11"/>
      <c r="I86" s="11"/>
    </row>
    <row r="87" spans="2:9" ht="19.5" customHeight="1">
      <c r="B87" s="130" t="s">
        <v>106</v>
      </c>
      <c r="C87" s="11"/>
      <c r="D87" s="11"/>
      <c r="E87" s="11"/>
      <c r="F87" s="11"/>
      <c r="G87" s="11"/>
      <c r="H87" s="11"/>
      <c r="I87" s="11"/>
    </row>
    <row r="88" spans="2:9" ht="18.75" customHeight="1">
      <c r="B88" s="11"/>
      <c r="C88" s="11"/>
      <c r="D88" s="11"/>
      <c r="E88" s="11"/>
      <c r="F88" s="11"/>
      <c r="G88" s="11"/>
      <c r="H88" s="11"/>
      <c r="I88" s="11"/>
    </row>
    <row r="89" spans="2:9" ht="21.75" customHeight="1">
      <c r="B89" s="131" t="str">
        <f>B66</f>
        <v>Transfer Scroll No. …………                       Officer / Sr. Officer                         Principal Officer</v>
      </c>
      <c r="C89" s="11"/>
      <c r="D89" s="11"/>
      <c r="E89" s="11"/>
      <c r="F89" s="130"/>
      <c r="G89" s="130"/>
      <c r="H89" s="130"/>
      <c r="I89" s="130"/>
    </row>
    <row r="90" spans="2:9" ht="28.5" customHeight="1">
      <c r="B90" s="842" t="s">
        <v>90</v>
      </c>
      <c r="C90" s="842"/>
      <c r="D90" s="842"/>
      <c r="E90" s="842"/>
      <c r="F90" s="842"/>
      <c r="G90" s="842"/>
      <c r="H90" s="842"/>
      <c r="I90" s="101"/>
    </row>
    <row r="91" spans="2:9" ht="18.75">
      <c r="B91" s="856" t="s">
        <v>188</v>
      </c>
      <c r="C91" s="856"/>
      <c r="D91" s="856"/>
      <c r="E91" s="856"/>
      <c r="F91" s="856"/>
      <c r="G91" s="856"/>
      <c r="H91" s="103" t="s">
        <v>115</v>
      </c>
      <c r="I91" s="134">
        <f>I2</f>
        <v>43676</v>
      </c>
    </row>
    <row r="92" spans="2:9" ht="15">
      <c r="B92" s="11"/>
      <c r="C92" s="11"/>
      <c r="D92" s="11"/>
      <c r="E92" s="11"/>
      <c r="F92" s="11"/>
      <c r="G92" s="11"/>
      <c r="H92" s="11"/>
      <c r="I92" s="11"/>
    </row>
    <row r="93" spans="2:9" ht="25.5">
      <c r="B93" s="836" t="s">
        <v>114</v>
      </c>
      <c r="C93" s="866"/>
      <c r="D93" s="866"/>
      <c r="E93" s="866"/>
      <c r="F93" s="837"/>
      <c r="G93" s="105" t="s">
        <v>113</v>
      </c>
      <c r="H93" s="106"/>
      <c r="I93" s="88" t="s">
        <v>112</v>
      </c>
    </row>
    <row r="94" spans="2:9" ht="15.75">
      <c r="B94" s="846" t="s">
        <v>111</v>
      </c>
      <c r="C94" s="847"/>
      <c r="D94" s="847"/>
      <c r="E94" s="847"/>
      <c r="F94" s="848"/>
      <c r="G94" s="107"/>
      <c r="H94" s="108"/>
      <c r="I94" s="107"/>
    </row>
    <row r="95" spans="2:9" ht="19.5">
      <c r="B95" s="864" t="s">
        <v>110</v>
      </c>
      <c r="C95" s="865"/>
      <c r="D95" s="865"/>
      <c r="E95" s="109" t="str">
        <f>G139</f>
        <v>639/640</v>
      </c>
      <c r="F95" s="110"/>
      <c r="G95" s="111"/>
      <c r="H95" s="111"/>
      <c r="I95" s="62"/>
    </row>
    <row r="96" spans="2:9" ht="18.75">
      <c r="B96" s="112"/>
      <c r="C96" s="113"/>
      <c r="D96" s="113"/>
      <c r="E96" s="109" t="str">
        <f>G140</f>
        <v>53100-31</v>
      </c>
      <c r="F96" s="114"/>
      <c r="G96" s="107"/>
      <c r="H96" s="107"/>
      <c r="I96" s="107"/>
    </row>
    <row r="97" spans="2:9" ht="15.75">
      <c r="B97" s="846"/>
      <c r="C97" s="847"/>
      <c r="D97" s="847"/>
      <c r="E97" s="847"/>
      <c r="F97" s="848"/>
      <c r="G97" s="107"/>
      <c r="H97" s="107"/>
      <c r="I97" s="107"/>
    </row>
    <row r="98" spans="2:9" ht="15.75">
      <c r="B98" s="857"/>
      <c r="C98" s="858"/>
      <c r="D98" s="858"/>
      <c r="E98" s="858"/>
      <c r="F98" s="858"/>
      <c r="G98" s="107"/>
      <c r="H98" s="107"/>
      <c r="I98" s="107"/>
    </row>
    <row r="99" spans="2:9" ht="15.75">
      <c r="B99" s="859"/>
      <c r="C99" s="860"/>
      <c r="D99" s="860"/>
      <c r="E99" s="860"/>
      <c r="F99" s="860"/>
      <c r="G99" s="4" t="s">
        <v>5</v>
      </c>
      <c r="H99" s="108"/>
      <c r="I99" s="107"/>
    </row>
    <row r="100" spans="2:9" ht="19.5">
      <c r="B100" s="879" t="s">
        <v>194</v>
      </c>
      <c r="C100" s="880"/>
      <c r="D100" s="880"/>
      <c r="E100" s="880"/>
      <c r="F100" s="881"/>
      <c r="G100" s="115" t="s">
        <v>116</v>
      </c>
      <c r="H100" s="116">
        <f>'Nov 2020'!AB27</f>
        <v>31416</v>
      </c>
      <c r="I100" s="117"/>
    </row>
    <row r="101" spans="2:9" ht="18.75">
      <c r="B101" s="145" t="s">
        <v>195</v>
      </c>
      <c r="C101" s="136"/>
      <c r="D101" s="136"/>
      <c r="E101" s="136"/>
      <c r="F101" s="110"/>
      <c r="G101" s="160"/>
      <c r="I101" s="117"/>
    </row>
    <row r="102" spans="2:9" ht="15.75">
      <c r="B102" s="161" t="str">
        <f>'Nov 2020'!U4</f>
        <v>November 2020</v>
      </c>
      <c r="C102" s="162"/>
      <c r="D102" s="162"/>
      <c r="E102" s="162"/>
      <c r="F102" s="163"/>
      <c r="G102" s="160"/>
      <c r="H102" s="116"/>
      <c r="I102" s="117"/>
    </row>
    <row r="103" spans="2:9" ht="28.5" customHeight="1">
      <c r="B103" s="843"/>
      <c r="C103" s="844"/>
      <c r="D103" s="844"/>
      <c r="E103" s="844"/>
      <c r="F103" s="845"/>
      <c r="G103" s="107"/>
      <c r="H103" s="116"/>
      <c r="I103" s="117"/>
    </row>
    <row r="104" spans="2:9" ht="15.75">
      <c r="B104" s="843"/>
      <c r="C104" s="844"/>
      <c r="D104" s="844"/>
      <c r="E104" s="844"/>
      <c r="F104" s="845"/>
      <c r="G104" s="107"/>
      <c r="H104" s="116"/>
      <c r="I104" s="117"/>
    </row>
    <row r="105" spans="2:9" ht="15.75">
      <c r="B105" s="122"/>
      <c r="C105" s="123"/>
      <c r="D105" s="123"/>
      <c r="E105" s="123"/>
      <c r="F105" s="124"/>
      <c r="G105" s="11" t="s">
        <v>5</v>
      </c>
      <c r="H105" s="125">
        <f>H100</f>
        <v>31416</v>
      </c>
      <c r="I105" s="117"/>
    </row>
    <row r="106" spans="2:9" ht="19.5">
      <c r="B106" s="126" t="s">
        <v>107</v>
      </c>
      <c r="C106" s="127"/>
      <c r="D106" s="128" t="str">
        <f>spellnumber(H105)</f>
        <v>Thirty One Thousand Four Hundred Sixteen Taka and No Paisa</v>
      </c>
      <c r="E106" s="127"/>
      <c r="F106" s="127"/>
      <c r="G106" s="127"/>
      <c r="H106" s="127"/>
      <c r="I106" s="129"/>
    </row>
    <row r="107" spans="2:9" ht="15">
      <c r="B107" s="11"/>
      <c r="C107" s="11"/>
      <c r="D107" s="11"/>
      <c r="E107" s="11"/>
      <c r="F107" s="11"/>
      <c r="G107" s="11"/>
      <c r="H107" s="11"/>
      <c r="I107" s="11"/>
    </row>
    <row r="108" spans="2:9" ht="15">
      <c r="B108" s="130" t="s">
        <v>106</v>
      </c>
      <c r="C108" s="11"/>
      <c r="D108" s="11"/>
      <c r="E108" s="11"/>
      <c r="F108" s="11"/>
      <c r="G108" s="11"/>
      <c r="H108" s="11"/>
      <c r="I108" s="11"/>
    </row>
    <row r="109" spans="2:9" ht="15">
      <c r="B109" s="11"/>
      <c r="C109" s="11"/>
      <c r="D109" s="11"/>
      <c r="E109" s="11"/>
      <c r="F109" s="11"/>
      <c r="G109" s="11"/>
      <c r="H109" s="11"/>
      <c r="I109" s="11"/>
    </row>
    <row r="110" spans="2:9" ht="15">
      <c r="B110" s="131" t="str">
        <f>B21</f>
        <v>Transfer Scroll No. …………                       Officer / Sr. Officer                         Principal Officer</v>
      </c>
      <c r="C110" s="11"/>
      <c r="D110" s="11"/>
      <c r="E110" s="11"/>
      <c r="F110" s="130"/>
      <c r="G110" s="130"/>
      <c r="H110" s="130"/>
      <c r="I110" s="130"/>
    </row>
    <row r="111" spans="2:9" ht="15">
      <c r="B111" s="131"/>
      <c r="C111" s="11"/>
      <c r="D111" s="11"/>
      <c r="E111" s="11"/>
      <c r="F111" s="130"/>
      <c r="G111" s="130"/>
      <c r="H111" s="130"/>
      <c r="I111" s="130"/>
    </row>
    <row r="112" spans="2:9" ht="15">
      <c r="B112" s="131"/>
      <c r="C112" s="11"/>
      <c r="D112" s="11"/>
      <c r="E112" s="11"/>
      <c r="F112" s="130"/>
      <c r="G112" s="130"/>
      <c r="H112" s="130"/>
      <c r="I112" s="130"/>
    </row>
    <row r="113" spans="2:9" ht="15">
      <c r="B113" s="131"/>
      <c r="C113" s="11"/>
      <c r="D113" s="11"/>
      <c r="E113" s="11"/>
      <c r="F113" s="130"/>
      <c r="G113" s="130"/>
      <c r="H113" s="130"/>
      <c r="I113" s="130"/>
    </row>
    <row r="114" spans="2:9" ht="25.5">
      <c r="B114" s="842" t="s">
        <v>90</v>
      </c>
      <c r="C114" s="842"/>
      <c r="D114" s="842"/>
      <c r="E114" s="842"/>
      <c r="F114" s="842"/>
      <c r="G114" s="842"/>
      <c r="H114" s="842"/>
      <c r="I114" s="842"/>
    </row>
    <row r="115" spans="2:9" ht="18.75">
      <c r="B115" s="856" t="s">
        <v>188</v>
      </c>
      <c r="C115" s="856"/>
      <c r="D115" s="856"/>
      <c r="E115" s="856"/>
      <c r="F115" s="856"/>
      <c r="G115" s="856"/>
      <c r="H115" s="103" t="s">
        <v>115</v>
      </c>
      <c r="I115" s="134">
        <f>I2</f>
        <v>43676</v>
      </c>
    </row>
    <row r="116" spans="2:9" ht="15">
      <c r="B116" s="11"/>
      <c r="C116" s="11"/>
      <c r="D116" s="11"/>
      <c r="E116" s="11"/>
      <c r="F116" s="11"/>
      <c r="G116" s="11"/>
      <c r="H116" s="11"/>
      <c r="I116" s="11"/>
    </row>
    <row r="117" spans="2:9" ht="25.5">
      <c r="B117" s="836" t="s">
        <v>114</v>
      </c>
      <c r="C117" s="866"/>
      <c r="D117" s="866"/>
      <c r="E117" s="866"/>
      <c r="F117" s="837"/>
      <c r="G117" s="105" t="s">
        <v>113</v>
      </c>
      <c r="H117" s="106"/>
      <c r="I117" s="88" t="s">
        <v>112</v>
      </c>
    </row>
    <row r="118" spans="2:9" ht="18.75">
      <c r="B118" s="135" t="s">
        <v>111</v>
      </c>
      <c r="C118" s="136"/>
      <c r="D118" s="137"/>
      <c r="E118" s="137"/>
      <c r="F118" s="138"/>
      <c r="G118" s="107"/>
      <c r="H118" s="108"/>
      <c r="I118" s="107"/>
    </row>
    <row r="119" spans="2:9" ht="18.75">
      <c r="B119" s="864" t="s">
        <v>110</v>
      </c>
      <c r="C119" s="865"/>
      <c r="D119" s="865"/>
      <c r="E119" s="109" t="str">
        <f>G139</f>
        <v>639/640</v>
      </c>
      <c r="F119" s="110"/>
      <c r="G119" s="107"/>
      <c r="H119" s="139"/>
      <c r="I119" s="62"/>
    </row>
    <row r="120" spans="2:9" ht="18.75">
      <c r="B120" s="140"/>
      <c r="C120" s="113"/>
      <c r="D120" s="113"/>
      <c r="E120" s="109" t="str">
        <f>G140</f>
        <v>53100-31</v>
      </c>
      <c r="F120" s="114"/>
      <c r="G120" s="107"/>
      <c r="H120" s="139"/>
      <c r="I120" s="107"/>
    </row>
    <row r="121" spans="2:9" ht="15.75">
      <c r="B121" s="164"/>
      <c r="C121" s="165"/>
      <c r="D121" s="165"/>
      <c r="E121" s="165"/>
      <c r="F121" s="166"/>
      <c r="G121" s="107"/>
      <c r="H121" s="139"/>
      <c r="I121" s="107"/>
    </row>
    <row r="122" spans="2:9" ht="15.75">
      <c r="B122" s="167"/>
      <c r="C122" s="168"/>
      <c r="D122" s="168"/>
      <c r="E122" s="168"/>
      <c r="F122" s="169"/>
      <c r="G122" s="4" t="s">
        <v>5</v>
      </c>
      <c r="H122" s="143"/>
      <c r="I122" s="107"/>
    </row>
    <row r="123" spans="2:9" ht="15.75">
      <c r="B123" s="141"/>
      <c r="C123" s="142"/>
      <c r="D123" s="142"/>
      <c r="E123" s="142"/>
      <c r="F123" s="170"/>
      <c r="G123" s="4"/>
      <c r="H123" s="143"/>
      <c r="I123" s="107"/>
    </row>
    <row r="124" spans="2:9" ht="19.5">
      <c r="B124" s="873" t="s">
        <v>196</v>
      </c>
      <c r="C124" s="874"/>
      <c r="D124" s="874"/>
      <c r="E124" s="874"/>
      <c r="F124" s="875"/>
      <c r="G124" s="115" t="s">
        <v>108</v>
      </c>
      <c r="H124" s="144">
        <f>'Nov 2020'!AC27</f>
        <v>9335</v>
      </c>
      <c r="I124" s="117"/>
    </row>
    <row r="125" spans="2:9" ht="18.75">
      <c r="B125" s="112" t="s">
        <v>197</v>
      </c>
      <c r="C125" s="136"/>
      <c r="D125" s="136"/>
      <c r="E125" s="109"/>
      <c r="F125" s="110"/>
      <c r="G125" s="146"/>
      <c r="H125" s="116"/>
      <c r="I125" s="117"/>
    </row>
    <row r="126" spans="2:9" ht="18.75">
      <c r="B126" s="147" t="str">
        <f>'Nov 2020'!U4</f>
        <v>November 2020</v>
      </c>
      <c r="C126" s="128"/>
      <c r="D126" s="128"/>
      <c r="E126" s="128"/>
      <c r="F126" s="148"/>
      <c r="G126" s="146"/>
      <c r="H126" s="116"/>
      <c r="I126" s="117"/>
    </row>
    <row r="127" spans="2:9" ht="18.75">
      <c r="B127" s="147"/>
      <c r="C127" s="128"/>
      <c r="D127" s="128"/>
      <c r="E127" s="128"/>
      <c r="F127" s="128"/>
      <c r="G127" s="146"/>
      <c r="H127" s="116"/>
      <c r="I127" s="117"/>
    </row>
    <row r="128" spans="2:9" ht="18.75">
      <c r="B128" s="140"/>
      <c r="C128" s="128"/>
      <c r="D128" s="128"/>
      <c r="E128" s="128"/>
      <c r="F128" s="128"/>
      <c r="G128" s="146"/>
      <c r="H128" s="116"/>
      <c r="I128" s="117"/>
    </row>
    <row r="129" spans="1:10" ht="15.75">
      <c r="B129" s="122"/>
      <c r="C129" s="123"/>
      <c r="D129" s="123"/>
      <c r="E129" s="123"/>
      <c r="F129" s="124"/>
      <c r="G129" s="11" t="s">
        <v>5</v>
      </c>
      <c r="H129" s="125">
        <f>H124</f>
        <v>9335</v>
      </c>
      <c r="I129" s="117"/>
    </row>
    <row r="130" spans="1:10" ht="19.5">
      <c r="B130" s="149" t="s">
        <v>107</v>
      </c>
      <c r="C130" s="127"/>
      <c r="D130" s="128" t="str">
        <f>spellnumber(H129)</f>
        <v>Nine Thousand Three Hundred Thirty Five Taka and No Paisa</v>
      </c>
      <c r="E130" s="127"/>
      <c r="F130" s="127"/>
      <c r="G130" s="127"/>
      <c r="H130" s="127"/>
      <c r="I130" s="129"/>
    </row>
    <row r="131" spans="1:10" ht="15">
      <c r="B131" s="11"/>
      <c r="C131" s="11"/>
      <c r="D131" s="11"/>
      <c r="E131" s="11"/>
      <c r="F131" s="11"/>
      <c r="G131" s="11"/>
      <c r="H131" s="11"/>
      <c r="I131" s="11"/>
    </row>
    <row r="132" spans="1:10" ht="15">
      <c r="B132" s="130" t="s">
        <v>106</v>
      </c>
      <c r="C132" s="11"/>
      <c r="D132" s="11"/>
      <c r="E132" s="11"/>
      <c r="F132" s="11"/>
      <c r="G132" s="11"/>
      <c r="H132" s="11"/>
      <c r="I132" s="11"/>
    </row>
    <row r="133" spans="1:10" ht="15">
      <c r="B133" s="11"/>
      <c r="C133" s="11"/>
      <c r="D133" s="11"/>
      <c r="E133" s="11"/>
      <c r="F133" s="11"/>
      <c r="G133" s="11"/>
      <c r="H133" s="11"/>
      <c r="I133" s="11"/>
    </row>
    <row r="134" spans="1:10" ht="15">
      <c r="B134" s="131" t="str">
        <f>B110</f>
        <v>Transfer Scroll No. …………                       Officer / Sr. Officer                         Principal Officer</v>
      </c>
      <c r="C134" s="11"/>
      <c r="D134" s="11"/>
      <c r="E134" s="11"/>
      <c r="F134" s="130"/>
      <c r="G134" s="130"/>
      <c r="H134" s="130"/>
      <c r="I134" s="130"/>
    </row>
    <row r="135" spans="1:10" ht="25.5">
      <c r="A135" s="102" t="s">
        <v>174</v>
      </c>
      <c r="B135" s="842" t="s">
        <v>90</v>
      </c>
      <c r="C135" s="842"/>
      <c r="D135" s="842"/>
      <c r="E135" s="842"/>
      <c r="F135" s="842"/>
      <c r="G135" s="842"/>
      <c r="H135" s="842"/>
      <c r="I135" s="842"/>
    </row>
    <row r="136" spans="1:10" ht="18.75">
      <c r="B136" s="856" t="s">
        <v>188</v>
      </c>
      <c r="C136" s="856"/>
      <c r="D136" s="856"/>
      <c r="E136" s="856"/>
      <c r="F136" s="856"/>
      <c r="G136" s="856"/>
      <c r="H136" s="103" t="s">
        <v>115</v>
      </c>
      <c r="I136" s="134">
        <f>I2</f>
        <v>43676</v>
      </c>
    </row>
    <row r="137" spans="1:10" ht="21" customHeight="1">
      <c r="B137" s="11"/>
      <c r="C137" s="11"/>
      <c r="D137" s="11"/>
      <c r="E137" s="11"/>
      <c r="F137" s="11"/>
      <c r="G137" s="11"/>
      <c r="H137" s="11"/>
      <c r="I137" s="11"/>
      <c r="J137" s="132" t="s">
        <v>171</v>
      </c>
    </row>
    <row r="138" spans="1:10" ht="25.5">
      <c r="B138" s="836" t="s">
        <v>114</v>
      </c>
      <c r="C138" s="866"/>
      <c r="D138" s="866"/>
      <c r="E138" s="866"/>
      <c r="F138" s="837"/>
      <c r="G138" s="105" t="s">
        <v>113</v>
      </c>
      <c r="H138" s="106"/>
      <c r="I138" s="88" t="s">
        <v>112</v>
      </c>
    </row>
    <row r="139" spans="1:10" ht="16.5">
      <c r="B139" s="135" t="s">
        <v>111</v>
      </c>
      <c r="C139" s="171" t="s">
        <v>124</v>
      </c>
      <c r="E139" s="137"/>
      <c r="F139" s="138"/>
      <c r="G139" s="172" t="s">
        <v>109</v>
      </c>
      <c r="H139" s="238">
        <f>'Nov 2020'!R27</f>
        <v>572538</v>
      </c>
      <c r="I139" s="173"/>
    </row>
    <row r="140" spans="1:10" ht="18.75">
      <c r="B140" s="174" t="s">
        <v>146</v>
      </c>
      <c r="C140" s="136"/>
      <c r="D140" s="136"/>
      <c r="E140" s="175" t="str">
        <f>'Nov 2020'!U4</f>
        <v>November 2020</v>
      </c>
      <c r="F140" s="110"/>
      <c r="G140" s="172" t="s">
        <v>11</v>
      </c>
      <c r="H140" s="139"/>
      <c r="I140" s="62"/>
    </row>
    <row r="141" spans="1:10" ht="15.75">
      <c r="B141" s="140"/>
      <c r="C141" s="113"/>
      <c r="D141" s="113"/>
      <c r="E141" s="113"/>
      <c r="F141" s="114"/>
      <c r="G141" s="107"/>
      <c r="H141" s="139"/>
      <c r="I141" s="107"/>
    </row>
    <row r="142" spans="1:10" ht="15.75">
      <c r="B142" s="140"/>
      <c r="C142" s="113"/>
      <c r="D142" s="113"/>
      <c r="E142" s="113"/>
      <c r="F142" s="114"/>
      <c r="G142" s="107"/>
      <c r="H142" s="139"/>
      <c r="I142" s="107"/>
    </row>
    <row r="143" spans="1:10" ht="15.75">
      <c r="B143" s="140"/>
      <c r="C143" s="113"/>
      <c r="D143" s="113"/>
      <c r="E143" s="113"/>
      <c r="F143" s="114"/>
      <c r="G143" s="107"/>
      <c r="H143" s="139"/>
      <c r="I143" s="107"/>
    </row>
    <row r="144" spans="1:10" ht="15.75">
      <c r="B144" s="141"/>
      <c r="C144" s="142"/>
      <c r="D144" s="142"/>
      <c r="E144" s="142"/>
      <c r="F144" s="142"/>
      <c r="G144" s="4" t="s">
        <v>5</v>
      </c>
      <c r="H144" s="239">
        <f>H139</f>
        <v>572538</v>
      </c>
      <c r="I144" s="107"/>
    </row>
    <row r="145" spans="2:9" ht="19.5">
      <c r="B145" s="895" t="s">
        <v>198</v>
      </c>
      <c r="C145" s="877"/>
      <c r="D145" s="877"/>
      <c r="E145" s="877"/>
      <c r="F145" s="878"/>
      <c r="G145" s="115"/>
      <c r="H145" s="144"/>
      <c r="I145" s="117"/>
    </row>
    <row r="146" spans="2:9" ht="18.75">
      <c r="B146" s="145" t="s">
        <v>110</v>
      </c>
      <c r="C146" s="893" t="s">
        <v>172</v>
      </c>
      <c r="D146" s="893"/>
      <c r="E146" s="893"/>
      <c r="F146" s="894"/>
      <c r="G146" s="146"/>
      <c r="H146" s="116"/>
      <c r="I146" s="117"/>
    </row>
    <row r="147" spans="2:9" ht="18.75">
      <c r="B147" s="154"/>
      <c r="C147" s="867" t="s">
        <v>173</v>
      </c>
      <c r="D147" s="867"/>
      <c r="E147" s="867"/>
      <c r="F147" s="868"/>
      <c r="G147" s="146"/>
      <c r="H147" s="116"/>
      <c r="I147" s="117"/>
    </row>
    <row r="148" spans="2:9" ht="18.75">
      <c r="B148" s="176"/>
      <c r="G148" s="146"/>
      <c r="H148" s="116"/>
      <c r="I148" s="117"/>
    </row>
    <row r="149" spans="2:9" ht="18.75">
      <c r="B149" s="140"/>
      <c r="C149" s="128"/>
      <c r="D149" s="128"/>
      <c r="E149" s="137"/>
      <c r="F149" s="137"/>
      <c r="G149" s="146"/>
      <c r="H149" s="116"/>
      <c r="I149" s="117"/>
    </row>
    <row r="150" spans="2:9" ht="15.75">
      <c r="B150" s="122"/>
      <c r="C150" s="123"/>
      <c r="D150" s="123"/>
      <c r="E150" s="123"/>
      <c r="F150" s="124"/>
      <c r="G150" s="11"/>
      <c r="H150" s="125"/>
      <c r="I150" s="117"/>
    </row>
    <row r="151" spans="2:9" ht="19.5">
      <c r="B151" s="149" t="s">
        <v>107</v>
      </c>
      <c r="C151" s="127"/>
      <c r="D151" s="128" t="str">
        <f>spellnumber(H144)</f>
        <v>Five Hundred Seventy Two Thousand Five Hundred Thirty Eight Taka and No Paisa</v>
      </c>
      <c r="E151" s="127"/>
      <c r="F151" s="127"/>
      <c r="G151" s="127"/>
      <c r="H151" s="127"/>
      <c r="I151" s="129"/>
    </row>
    <row r="152" spans="2:9" ht="15">
      <c r="B152" s="11"/>
      <c r="C152" s="11"/>
      <c r="D152" s="11"/>
      <c r="E152" s="11"/>
      <c r="F152" s="11"/>
      <c r="G152" s="11"/>
      <c r="H152" s="11"/>
      <c r="I152" s="11"/>
    </row>
    <row r="153" spans="2:9" ht="15">
      <c r="B153" s="130" t="s">
        <v>106</v>
      </c>
      <c r="C153" s="11"/>
      <c r="D153" s="11"/>
      <c r="E153" s="11"/>
      <c r="F153" s="11"/>
      <c r="G153" s="11"/>
      <c r="H153" s="11"/>
      <c r="I153" s="11"/>
    </row>
    <row r="154" spans="2:9" ht="15">
      <c r="B154" s="11"/>
      <c r="C154" s="11"/>
      <c r="D154" s="11"/>
      <c r="E154" s="11"/>
      <c r="F154" s="11"/>
      <c r="G154" s="11"/>
      <c r="H154" s="11"/>
      <c r="I154" s="11"/>
    </row>
    <row r="155" spans="2:9" ht="15">
      <c r="B155" s="131" t="str">
        <f>VOUCHER!B21</f>
        <v>Transfer Scroll No. …………                       Officer / Sr. Officer                         Principal Officer</v>
      </c>
      <c r="C155" s="11"/>
      <c r="D155" s="11"/>
      <c r="E155" s="11"/>
      <c r="F155" s="130"/>
      <c r="G155" s="130"/>
      <c r="H155" s="130"/>
      <c r="I155" s="130"/>
    </row>
    <row r="156" spans="2:9" ht="15">
      <c r="B156" s="131"/>
      <c r="C156" s="11"/>
      <c r="D156" s="11"/>
      <c r="E156" s="11"/>
      <c r="F156" s="130"/>
      <c r="G156" s="130"/>
      <c r="H156" s="130"/>
      <c r="I156" s="130"/>
    </row>
    <row r="157" spans="2:9" ht="15">
      <c r="B157" s="131"/>
      <c r="C157" s="11"/>
      <c r="D157" s="11"/>
      <c r="E157" s="11"/>
      <c r="F157" s="130"/>
      <c r="G157" s="130"/>
      <c r="H157" s="130"/>
      <c r="I157" s="130"/>
    </row>
    <row r="159" spans="2:9" ht="25.5">
      <c r="B159" s="842" t="s">
        <v>90</v>
      </c>
      <c r="C159" s="842"/>
      <c r="D159" s="842"/>
      <c r="E159" s="842"/>
      <c r="F159" s="842"/>
      <c r="G159" s="842"/>
      <c r="H159" s="842"/>
      <c r="I159" s="101"/>
    </row>
    <row r="160" spans="2:9" ht="18.75">
      <c r="B160" s="856" t="s">
        <v>188</v>
      </c>
      <c r="C160" s="856"/>
      <c r="D160" s="856"/>
      <c r="E160" s="856"/>
      <c r="F160" s="856"/>
      <c r="G160" s="856"/>
      <c r="H160" s="103" t="s">
        <v>115</v>
      </c>
      <c r="I160" s="104">
        <f>I2</f>
        <v>43676</v>
      </c>
    </row>
    <row r="161" spans="2:9" ht="15">
      <c r="B161" s="11"/>
      <c r="C161" s="11"/>
      <c r="D161" s="11"/>
      <c r="E161" s="11"/>
      <c r="F161" s="11"/>
      <c r="G161" s="11"/>
      <c r="H161" s="11"/>
      <c r="I161" s="11"/>
    </row>
    <row r="162" spans="2:9" ht="25.5">
      <c r="B162" s="836" t="s">
        <v>114</v>
      </c>
      <c r="C162" s="866"/>
      <c r="D162" s="866"/>
      <c r="E162" s="866"/>
      <c r="F162" s="837"/>
      <c r="G162" s="105" t="s">
        <v>113</v>
      </c>
      <c r="H162" s="106"/>
      <c r="I162" s="88" t="s">
        <v>112</v>
      </c>
    </row>
    <row r="163" spans="2:9" ht="15.75">
      <c r="B163" s="846" t="s">
        <v>111</v>
      </c>
      <c r="C163" s="847"/>
      <c r="D163" s="847"/>
      <c r="E163" s="847"/>
      <c r="F163" s="848"/>
      <c r="G163" s="107"/>
      <c r="H163" s="108"/>
      <c r="I163" s="107"/>
    </row>
    <row r="164" spans="2:9" ht="19.5">
      <c r="B164" s="864" t="s">
        <v>110</v>
      </c>
      <c r="C164" s="865"/>
      <c r="D164" s="865"/>
      <c r="E164" s="109" t="str">
        <f>G139</f>
        <v>639/640</v>
      </c>
      <c r="F164" s="110"/>
      <c r="G164" s="111"/>
      <c r="H164" s="111"/>
      <c r="I164" s="62"/>
    </row>
    <row r="165" spans="2:9" ht="18.75">
      <c r="B165" s="112"/>
      <c r="C165" s="113"/>
      <c r="D165" s="113"/>
      <c r="E165" s="109" t="str">
        <f>G140</f>
        <v>53100-31</v>
      </c>
      <c r="F165" s="114"/>
      <c r="G165" s="107"/>
      <c r="H165" s="107"/>
      <c r="I165" s="107"/>
    </row>
    <row r="166" spans="2:9" ht="18.75">
      <c r="B166" s="112"/>
      <c r="C166" s="113"/>
      <c r="D166" s="113"/>
      <c r="E166" s="109"/>
      <c r="F166" s="114"/>
      <c r="G166" s="107"/>
      <c r="H166" s="107"/>
      <c r="I166" s="107"/>
    </row>
    <row r="167" spans="2:9" ht="15.75">
      <c r="B167" s="857"/>
      <c r="C167" s="858"/>
      <c r="D167" s="858"/>
      <c r="E167" s="858"/>
      <c r="F167" s="858"/>
      <c r="G167" s="107"/>
      <c r="H167" s="107"/>
      <c r="I167" s="107"/>
    </row>
    <row r="168" spans="2:9" ht="15.75">
      <c r="B168" s="859"/>
      <c r="C168" s="860"/>
      <c r="D168" s="860"/>
      <c r="E168" s="860"/>
      <c r="F168" s="860"/>
      <c r="G168" s="4" t="s">
        <v>5</v>
      </c>
      <c r="H168" s="108"/>
      <c r="I168" s="107"/>
    </row>
    <row r="169" spans="2:9" ht="19.5">
      <c r="B169" s="177" t="s">
        <v>199</v>
      </c>
      <c r="C169" s="178" t="s">
        <v>128</v>
      </c>
      <c r="D169" s="157"/>
      <c r="E169" s="157"/>
      <c r="F169" s="158"/>
      <c r="G169" s="115">
        <v>153</v>
      </c>
      <c r="H169" s="100">
        <f>'Nov 2020'!AD27</f>
        <v>2550</v>
      </c>
      <c r="I169" s="117"/>
    </row>
    <row r="170" spans="2:9" ht="15.75">
      <c r="B170" s="861" t="s">
        <v>129</v>
      </c>
      <c r="C170" s="862"/>
      <c r="D170" s="862"/>
      <c r="E170" s="862"/>
      <c r="F170" s="863"/>
      <c r="G170" s="107" t="s">
        <v>17</v>
      </c>
      <c r="H170" s="100"/>
      <c r="I170" s="117"/>
    </row>
    <row r="171" spans="2:9" ht="15.75">
      <c r="B171" s="179" t="str">
        <f>'Nov 2020'!U4</f>
        <v>November 2020</v>
      </c>
      <c r="C171" s="180"/>
      <c r="D171" s="119"/>
      <c r="E171" s="155"/>
      <c r="F171" s="120"/>
      <c r="G171" s="107"/>
      <c r="H171" s="100"/>
      <c r="I171" s="117"/>
    </row>
    <row r="172" spans="2:9" ht="18.75" customHeight="1">
      <c r="B172" s="140" t="s">
        <v>147</v>
      </c>
      <c r="C172" s="119">
        <f>'Nov 2020'!AD13+'Nov 2020'!AD14+'Nov 2020'!AD16+'Nov 2020'!AD21+'Nov 2020'!AD23+'Nov 2020'!AD24</f>
        <v>950</v>
      </c>
      <c r="D172" s="128"/>
      <c r="E172" s="128"/>
      <c r="F172" s="148"/>
      <c r="G172" s="107"/>
      <c r="H172" s="121"/>
      <c r="I172" s="117"/>
    </row>
    <row r="173" spans="2:9" ht="18" customHeight="1">
      <c r="B173" s="140" t="s">
        <v>148</v>
      </c>
      <c r="C173" s="119" t="e">
        <f>'Nov 2020'!#REF!</f>
        <v>#REF!</v>
      </c>
      <c r="D173" s="128"/>
      <c r="E173" s="128"/>
      <c r="F173" s="148"/>
      <c r="G173" s="107"/>
      <c r="H173" s="121"/>
      <c r="I173" s="117"/>
    </row>
    <row r="174" spans="2:9" ht="18.75" customHeight="1">
      <c r="B174" s="122" t="s">
        <v>149</v>
      </c>
      <c r="C174" s="181">
        <f>'Nov 2020'!AD10+'Nov 2020'!AD11+'Nov 2020'!AD12+'Nov 2020'!AD15</f>
        <v>1000</v>
      </c>
      <c r="D174" s="123"/>
      <c r="E174" s="123"/>
      <c r="F174" s="124"/>
      <c r="G174" s="11" t="s">
        <v>5</v>
      </c>
      <c r="H174" s="125">
        <f>H169</f>
        <v>2550</v>
      </c>
      <c r="I174" s="117"/>
    </row>
    <row r="175" spans="2:9" ht="19.5">
      <c r="B175" s="126" t="s">
        <v>107</v>
      </c>
      <c r="C175" s="127"/>
      <c r="D175" s="128" t="str">
        <f>spellnumber(H174)</f>
        <v>Two Thousand Five Hundred Fifty  Taka and No Paisa</v>
      </c>
      <c r="E175" s="127"/>
      <c r="F175" s="127"/>
      <c r="G175" s="127"/>
      <c r="H175" s="127"/>
      <c r="I175" s="129"/>
    </row>
    <row r="176" spans="2:9" ht="16.5" customHeight="1">
      <c r="B176" s="11"/>
      <c r="C176" s="11"/>
      <c r="D176" s="11"/>
      <c r="E176" s="11"/>
      <c r="F176" s="11"/>
      <c r="G176" s="11"/>
      <c r="H176" s="11"/>
      <c r="I176" s="11"/>
    </row>
    <row r="177" spans="2:10" ht="24" customHeight="1">
      <c r="B177" s="130" t="s">
        <v>106</v>
      </c>
      <c r="C177" s="11"/>
      <c r="D177" s="11"/>
      <c r="E177" s="11"/>
      <c r="F177" s="11"/>
      <c r="G177" s="11"/>
      <c r="H177" s="11"/>
      <c r="I177" s="49"/>
      <c r="J177" s="182">
        <f>H174-'Nov 2020'!AD27</f>
        <v>0</v>
      </c>
    </row>
    <row r="178" spans="2:10" ht="15">
      <c r="B178" s="11"/>
      <c r="C178" s="11"/>
      <c r="D178" s="11"/>
      <c r="E178" s="11"/>
      <c r="F178" s="49"/>
      <c r="G178" s="11"/>
      <c r="H178" s="11"/>
      <c r="I178" s="11"/>
    </row>
    <row r="179" spans="2:10" ht="26.25" customHeight="1">
      <c r="B179" s="131" t="s">
        <v>125</v>
      </c>
      <c r="C179" s="11"/>
      <c r="D179" s="11"/>
      <c r="E179" s="11"/>
      <c r="F179" s="130"/>
      <c r="G179" s="130"/>
      <c r="H179" s="130"/>
      <c r="I179" s="130"/>
    </row>
    <row r="180" spans="2:10" ht="25.5">
      <c r="B180" s="842" t="s">
        <v>90</v>
      </c>
      <c r="C180" s="842"/>
      <c r="D180" s="842"/>
      <c r="E180" s="842"/>
      <c r="F180" s="842"/>
      <c r="G180" s="842"/>
      <c r="H180" s="842"/>
      <c r="I180" s="842"/>
    </row>
    <row r="181" spans="2:10" ht="18.75">
      <c r="B181" s="856" t="s">
        <v>188</v>
      </c>
      <c r="C181" s="856"/>
      <c r="D181" s="856"/>
      <c r="E181" s="856"/>
      <c r="F181" s="856"/>
      <c r="G181" s="856"/>
      <c r="H181" s="103" t="s">
        <v>115</v>
      </c>
      <c r="I181" s="134">
        <f>I2</f>
        <v>43676</v>
      </c>
    </row>
    <row r="182" spans="2:10" ht="15">
      <c r="B182" s="11"/>
      <c r="C182" s="11"/>
      <c r="D182" s="11"/>
      <c r="E182" s="11"/>
      <c r="F182" s="11"/>
      <c r="G182" s="11"/>
      <c r="H182" s="11"/>
      <c r="I182" s="11"/>
    </row>
    <row r="183" spans="2:10" ht="33.75" customHeight="1">
      <c r="B183" s="836" t="s">
        <v>114</v>
      </c>
      <c r="C183" s="866"/>
      <c r="D183" s="866"/>
      <c r="E183" s="866"/>
      <c r="F183" s="837"/>
      <c r="G183" s="105" t="s">
        <v>113</v>
      </c>
      <c r="H183" s="106"/>
      <c r="I183" s="88" t="s">
        <v>112</v>
      </c>
    </row>
    <row r="184" spans="2:10" ht="18.75">
      <c r="B184" s="135" t="s">
        <v>111</v>
      </c>
      <c r="C184" s="136"/>
      <c r="D184" s="113"/>
      <c r="E184" s="137"/>
      <c r="F184" s="138"/>
      <c r="G184" s="107"/>
      <c r="H184" s="183"/>
      <c r="I184" s="107"/>
    </row>
    <row r="185" spans="2:10" ht="18.75">
      <c r="B185" s="864" t="s">
        <v>110</v>
      </c>
      <c r="C185" s="865"/>
      <c r="D185" s="865"/>
      <c r="E185" s="109" t="str">
        <f>G139</f>
        <v>639/640</v>
      </c>
      <c r="F185" s="184"/>
      <c r="G185" s="107"/>
      <c r="H185" s="139"/>
      <c r="I185" s="62"/>
    </row>
    <row r="186" spans="2:10" ht="18.75">
      <c r="B186" s="185"/>
      <c r="C186" s="186"/>
      <c r="D186" s="186"/>
      <c r="E186" s="109" t="str">
        <f>G140</f>
        <v>53100-31</v>
      </c>
      <c r="F186" s="1"/>
      <c r="G186" s="107"/>
      <c r="H186" s="139"/>
      <c r="I186" s="107"/>
    </row>
    <row r="187" spans="2:10" ht="18.75">
      <c r="B187" s="187"/>
      <c r="C187" s="113"/>
      <c r="D187" s="113"/>
      <c r="E187" s="113"/>
      <c r="F187" s="109"/>
      <c r="G187" s="107"/>
      <c r="H187" s="139"/>
      <c r="I187" s="107"/>
    </row>
    <row r="188" spans="2:10" ht="15.75">
      <c r="B188" s="140"/>
      <c r="C188" s="113"/>
      <c r="D188" s="113"/>
      <c r="E188" s="113"/>
      <c r="F188" s="114"/>
      <c r="G188" s="107"/>
      <c r="H188" s="139"/>
      <c r="I188" s="107"/>
    </row>
    <row r="189" spans="2:10" ht="15.75">
      <c r="B189" s="141"/>
      <c r="C189" s="142"/>
      <c r="D189" s="142"/>
      <c r="E189" s="142"/>
      <c r="F189" s="142"/>
      <c r="G189" s="4" t="s">
        <v>5</v>
      </c>
      <c r="H189" s="143"/>
      <c r="I189" s="107"/>
    </row>
    <row r="190" spans="2:10" ht="19.5">
      <c r="B190" s="156" t="s">
        <v>200</v>
      </c>
      <c r="C190" s="178" t="s">
        <v>166</v>
      </c>
      <c r="D190" s="157"/>
      <c r="E190" s="157"/>
      <c r="F190" s="158"/>
      <c r="G190" s="115">
        <v>227</v>
      </c>
      <c r="H190" s="188">
        <f>'Nov 2020'!AG27</f>
        <v>30</v>
      </c>
      <c r="I190" s="117"/>
    </row>
    <row r="191" spans="2:10" ht="18.75">
      <c r="B191" s="174" t="s">
        <v>226</v>
      </c>
      <c r="C191" s="136"/>
      <c r="D191" s="189"/>
      <c r="E191" s="292" t="str">
        <f>B171</f>
        <v>November 2020</v>
      </c>
      <c r="F191" s="190"/>
      <c r="G191" s="107" t="s">
        <v>165</v>
      </c>
      <c r="H191" s="116"/>
      <c r="I191" s="117"/>
    </row>
    <row r="192" spans="2:10" ht="26.25" customHeight="1">
      <c r="B192" s="179"/>
      <c r="C192" s="180"/>
      <c r="D192" s="119"/>
      <c r="E192" s="155"/>
      <c r="F192" s="120"/>
      <c r="G192" s="107"/>
      <c r="H192" s="116"/>
      <c r="I192" s="117"/>
    </row>
    <row r="193" spans="1:10" ht="18.75">
      <c r="B193" s="147"/>
      <c r="C193" s="128"/>
      <c r="D193" s="191"/>
      <c r="E193" s="136"/>
      <c r="F193" s="128"/>
      <c r="G193" s="146"/>
      <c r="H193" s="116"/>
      <c r="I193" s="117"/>
    </row>
    <row r="194" spans="1:10" ht="18.75">
      <c r="B194" s="140"/>
      <c r="C194" s="128"/>
      <c r="D194" s="128"/>
      <c r="E194" s="128"/>
      <c r="F194" s="128"/>
      <c r="G194" s="146"/>
      <c r="H194" s="116"/>
      <c r="I194" s="117"/>
    </row>
    <row r="195" spans="1:10" ht="15.75">
      <c r="B195" s="122"/>
      <c r="C195" s="123"/>
      <c r="D195" s="123"/>
      <c r="E195" s="123"/>
      <c r="F195" s="124"/>
      <c r="G195" s="11" t="s">
        <v>5</v>
      </c>
      <c r="H195" s="192">
        <f>H190</f>
        <v>30</v>
      </c>
      <c r="I195" s="117"/>
    </row>
    <row r="196" spans="1:10" ht="19.5">
      <c r="B196" s="149" t="s">
        <v>107</v>
      </c>
      <c r="C196" s="127"/>
      <c r="D196" s="128" t="str">
        <f>spellnumber(H195)</f>
        <v>Thirty  Taka and No Paisa</v>
      </c>
      <c r="E196" s="127"/>
      <c r="F196" s="127"/>
      <c r="G196" s="127"/>
      <c r="H196" s="127"/>
      <c r="I196" s="129"/>
    </row>
    <row r="197" spans="1:10" ht="15">
      <c r="B197" s="11"/>
      <c r="C197" s="11"/>
      <c r="D197" s="11"/>
      <c r="E197" s="11"/>
      <c r="F197" s="11"/>
      <c r="G197" s="11"/>
      <c r="H197" s="11"/>
      <c r="I197" s="11"/>
    </row>
    <row r="198" spans="1:10" ht="15">
      <c r="B198" s="130" t="s">
        <v>106</v>
      </c>
      <c r="C198" s="11"/>
      <c r="D198" s="11"/>
      <c r="E198" s="11"/>
      <c r="F198" s="11"/>
      <c r="G198" s="11"/>
      <c r="H198" s="11"/>
      <c r="I198" s="11"/>
    </row>
    <row r="199" spans="1:10" ht="15">
      <c r="B199" s="11"/>
      <c r="C199" s="11"/>
      <c r="D199" s="11"/>
      <c r="E199" s="11"/>
      <c r="F199" s="11"/>
      <c r="G199" s="11"/>
      <c r="H199" s="11"/>
      <c r="I199" s="11"/>
    </row>
    <row r="200" spans="1:10" ht="15">
      <c r="B200" s="131" t="str">
        <f>B179</f>
        <v>Transfer Scroll No. …………                  OFFICER / SR. OFFICER                     PRINCIPAL OFFICER</v>
      </c>
      <c r="C200" s="11"/>
      <c r="D200" s="11"/>
      <c r="E200" s="11"/>
      <c r="F200" s="130"/>
      <c r="G200" s="130"/>
      <c r="H200" s="47"/>
      <c r="I200" s="47"/>
      <c r="J200" s="193"/>
    </row>
    <row r="201" spans="1:10" ht="15">
      <c r="B201" s="131"/>
      <c r="C201" s="11"/>
      <c r="D201" s="11"/>
      <c r="E201" s="11"/>
      <c r="F201" s="130"/>
      <c r="G201" s="130"/>
      <c r="H201" s="47"/>
      <c r="I201" s="47"/>
      <c r="J201" s="193"/>
    </row>
    <row r="202" spans="1:10" ht="15">
      <c r="B202" s="131"/>
      <c r="C202" s="11"/>
      <c r="D202" s="11"/>
      <c r="E202" s="11"/>
      <c r="F202" s="130"/>
      <c r="G202" s="130"/>
      <c r="H202" s="47"/>
      <c r="I202" s="47"/>
      <c r="J202" s="193"/>
    </row>
    <row r="203" spans="1:10">
      <c r="B203" s="1"/>
      <c r="C203" s="1"/>
      <c r="D203" s="1"/>
      <c r="E203" s="1"/>
      <c r="F203" s="1"/>
      <c r="G203" s="1"/>
      <c r="H203" s="1"/>
      <c r="I203" s="1"/>
    </row>
    <row r="204" spans="1:10" ht="25.5">
      <c r="A204" s="1"/>
      <c r="B204" s="842" t="s">
        <v>90</v>
      </c>
      <c r="C204" s="842"/>
      <c r="D204" s="842"/>
      <c r="E204" s="842"/>
      <c r="F204" s="842"/>
      <c r="G204" s="842"/>
      <c r="H204" s="842"/>
      <c r="I204" s="842"/>
    </row>
    <row r="205" spans="1:10" ht="18.75">
      <c r="A205" s="1"/>
      <c r="B205" s="856" t="s">
        <v>188</v>
      </c>
      <c r="C205" s="856"/>
      <c r="D205" s="856"/>
      <c r="E205" s="856"/>
      <c r="F205" s="856"/>
      <c r="G205" s="856"/>
      <c r="H205" s="103" t="s">
        <v>115</v>
      </c>
      <c r="I205" s="134">
        <f>I181</f>
        <v>43676</v>
      </c>
    </row>
    <row r="206" spans="1:10" ht="15">
      <c r="A206" s="1"/>
      <c r="B206" s="11"/>
      <c r="C206" s="11"/>
      <c r="D206" s="11"/>
      <c r="E206" s="11"/>
      <c r="F206" s="11"/>
      <c r="G206" s="11"/>
      <c r="H206" s="11"/>
      <c r="I206" s="11"/>
    </row>
    <row r="207" spans="1:10" ht="25.5">
      <c r="A207" s="1"/>
      <c r="B207" s="836" t="s">
        <v>114</v>
      </c>
      <c r="C207" s="866"/>
      <c r="D207" s="866"/>
      <c r="E207" s="866"/>
      <c r="F207" s="837"/>
      <c r="G207" s="105" t="s">
        <v>113</v>
      </c>
      <c r="H207" s="106"/>
      <c r="I207" s="88" t="s">
        <v>112</v>
      </c>
    </row>
    <row r="208" spans="1:10" ht="18.75">
      <c r="A208" s="1"/>
      <c r="B208" s="135" t="s">
        <v>111</v>
      </c>
      <c r="C208" s="136"/>
      <c r="D208" s="113"/>
      <c r="E208" s="137"/>
      <c r="F208" s="138"/>
      <c r="G208" s="107"/>
      <c r="H208" s="183"/>
      <c r="I208" s="107"/>
    </row>
    <row r="209" spans="1:10" ht="18.75">
      <c r="A209" s="1"/>
      <c r="B209" s="864" t="s">
        <v>110</v>
      </c>
      <c r="C209" s="865"/>
      <c r="D209" s="865"/>
      <c r="E209" s="109" t="str">
        <f>E185</f>
        <v>639/640</v>
      </c>
      <c r="F209" s="184"/>
      <c r="G209" s="107"/>
      <c r="H209" s="139"/>
      <c r="I209" s="62"/>
    </row>
    <row r="210" spans="1:10" ht="18.75">
      <c r="A210" s="1"/>
      <c r="B210" s="185"/>
      <c r="C210" s="186"/>
      <c r="D210" s="186"/>
      <c r="E210" s="109" t="str">
        <f>E186</f>
        <v>53100-31</v>
      </c>
      <c r="F210" s="1"/>
      <c r="G210" s="107"/>
      <c r="H210" s="139"/>
      <c r="I210" s="107"/>
    </row>
    <row r="211" spans="1:10" ht="18.75">
      <c r="A211" s="1"/>
      <c r="B211" s="187"/>
      <c r="C211" s="113"/>
      <c r="D211" s="113"/>
      <c r="E211" s="113"/>
      <c r="F211" s="109"/>
      <c r="G211" s="107"/>
      <c r="H211" s="139"/>
      <c r="I211" s="107"/>
    </row>
    <row r="212" spans="1:10" ht="15.75">
      <c r="A212" s="1"/>
      <c r="B212" s="140"/>
      <c r="C212" s="113"/>
      <c r="D212" s="113"/>
      <c r="E212" s="113"/>
      <c r="F212" s="114"/>
      <c r="G212" s="107"/>
      <c r="H212" s="139"/>
      <c r="I212" s="107"/>
    </row>
    <row r="213" spans="1:10" ht="15.75">
      <c r="A213" s="1"/>
      <c r="B213" s="141"/>
      <c r="C213" s="142"/>
      <c r="D213" s="142"/>
      <c r="E213" s="142"/>
      <c r="F213" s="142"/>
      <c r="G213" s="4" t="s">
        <v>5</v>
      </c>
      <c r="H213" s="143"/>
      <c r="I213" s="107"/>
    </row>
    <row r="214" spans="1:10" ht="19.5">
      <c r="A214" s="1"/>
      <c r="B214" s="156" t="s">
        <v>200</v>
      </c>
      <c r="C214" s="178" t="s">
        <v>128</v>
      </c>
      <c r="D214" s="157"/>
      <c r="E214" s="157"/>
      <c r="F214" s="158"/>
      <c r="G214" s="115">
        <v>153</v>
      </c>
      <c r="H214" s="188">
        <v>12</v>
      </c>
      <c r="I214" s="117"/>
    </row>
    <row r="215" spans="1:10" ht="18.75">
      <c r="A215" s="1"/>
      <c r="B215" s="174" t="s">
        <v>127</v>
      </c>
      <c r="C215" s="136"/>
      <c r="D215" s="189" t="str">
        <f>E191</f>
        <v>November 2020</v>
      </c>
      <c r="E215" s="109"/>
      <c r="F215" s="138"/>
      <c r="G215" s="107" t="s">
        <v>17</v>
      </c>
      <c r="H215" s="116"/>
      <c r="I215" s="117"/>
    </row>
    <row r="216" spans="1:10" ht="15.75">
      <c r="A216" s="1"/>
      <c r="B216" s="179"/>
      <c r="C216" s="180"/>
      <c r="D216" s="119"/>
      <c r="E216" s="155"/>
      <c r="F216" s="120"/>
      <c r="G216" s="107"/>
      <c r="H216" s="116"/>
      <c r="I216" s="117"/>
    </row>
    <row r="217" spans="1:10" ht="18.75">
      <c r="A217" s="1"/>
      <c r="B217" s="147"/>
      <c r="C217" s="128"/>
      <c r="D217" s="191"/>
      <c r="E217" s="136"/>
      <c r="F217" s="128"/>
      <c r="G217" s="146"/>
      <c r="H217" s="116"/>
      <c r="I217" s="117"/>
    </row>
    <row r="218" spans="1:10" ht="18.75">
      <c r="A218" s="1"/>
      <c r="B218" s="140"/>
      <c r="C218" s="128"/>
      <c r="D218" s="128"/>
      <c r="E218" s="128"/>
      <c r="F218" s="128"/>
      <c r="G218" s="146"/>
      <c r="H218" s="116"/>
      <c r="I218" s="117"/>
    </row>
    <row r="219" spans="1:10" ht="15.75">
      <c r="A219" s="1"/>
      <c r="B219" s="122"/>
      <c r="C219" s="123"/>
      <c r="D219" s="123"/>
      <c r="E219" s="123"/>
      <c r="F219" s="124"/>
      <c r="G219" s="11" t="s">
        <v>5</v>
      </c>
      <c r="H219" s="192">
        <f>H214</f>
        <v>12</v>
      </c>
      <c r="I219" s="117"/>
    </row>
    <row r="220" spans="1:10" ht="19.5">
      <c r="A220" s="1"/>
      <c r="B220" s="149" t="s">
        <v>107</v>
      </c>
      <c r="C220" s="127"/>
      <c r="D220" s="128" t="s">
        <v>164</v>
      </c>
      <c r="E220" s="127"/>
      <c r="F220" s="127"/>
      <c r="G220" s="127"/>
      <c r="H220" s="127"/>
      <c r="I220" s="129"/>
    </row>
    <row r="221" spans="1:10" ht="15">
      <c r="A221" s="1"/>
      <c r="B221" s="11"/>
      <c r="C221" s="11"/>
      <c r="D221" s="11"/>
      <c r="E221" s="11"/>
      <c r="F221" s="11"/>
      <c r="G221" s="11"/>
      <c r="H221" s="11"/>
      <c r="I221" s="11"/>
    </row>
    <row r="222" spans="1:10" ht="15">
      <c r="A222" s="1"/>
      <c r="B222" s="130" t="s">
        <v>106</v>
      </c>
      <c r="C222" s="11"/>
      <c r="D222" s="11"/>
      <c r="E222" s="11"/>
      <c r="F222" s="11"/>
      <c r="G222" s="11"/>
      <c r="H222" s="11"/>
      <c r="I222" s="11"/>
    </row>
    <row r="223" spans="1:10" ht="15">
      <c r="A223" s="1"/>
      <c r="B223" s="11"/>
      <c r="C223" s="11"/>
      <c r="D223" s="11"/>
      <c r="E223" s="11"/>
      <c r="F223" s="11"/>
      <c r="G223" s="11"/>
      <c r="H223" s="11"/>
      <c r="I223" s="11"/>
    </row>
    <row r="224" spans="1:10" ht="15">
      <c r="A224" s="1"/>
      <c r="B224" s="131" t="s">
        <v>163</v>
      </c>
      <c r="C224" s="11"/>
      <c r="D224" s="11"/>
      <c r="E224" s="11"/>
      <c r="F224" s="130"/>
      <c r="G224" s="130"/>
      <c r="H224" s="130"/>
      <c r="I224" s="130"/>
      <c r="J224" s="193"/>
    </row>
    <row r="225" spans="1:9">
      <c r="A225" s="1"/>
      <c r="B225" s="1"/>
      <c r="C225" s="1"/>
      <c r="D225" s="1"/>
      <c r="E225" s="1"/>
      <c r="F225" s="1"/>
      <c r="G225" s="1"/>
      <c r="H225" s="1"/>
      <c r="I225" s="1"/>
    </row>
    <row r="226" spans="1:9" ht="25.5">
      <c r="A226" s="1"/>
      <c r="B226" s="842" t="s">
        <v>90</v>
      </c>
      <c r="C226" s="842"/>
      <c r="D226" s="842"/>
      <c r="E226" s="842"/>
      <c r="F226" s="842"/>
      <c r="G226" s="842"/>
      <c r="H226" s="842"/>
      <c r="I226" s="842"/>
    </row>
    <row r="227" spans="1:9" ht="18.75">
      <c r="A227" s="1"/>
      <c r="B227" s="856" t="s">
        <v>188</v>
      </c>
      <c r="C227" s="856"/>
      <c r="D227" s="856"/>
      <c r="E227" s="856"/>
      <c r="F227" s="856"/>
      <c r="G227" s="856"/>
      <c r="H227" s="103" t="s">
        <v>115</v>
      </c>
      <c r="I227" s="104">
        <f>I2</f>
        <v>43676</v>
      </c>
    </row>
    <row r="228" spans="1:9" ht="15">
      <c r="A228" s="1"/>
      <c r="B228" s="11"/>
      <c r="C228" s="11"/>
      <c r="D228" s="11"/>
      <c r="E228" s="11"/>
      <c r="F228" s="11"/>
      <c r="G228" s="11"/>
      <c r="H228" s="11"/>
      <c r="I228" s="11"/>
    </row>
    <row r="229" spans="1:9" ht="25.5">
      <c r="A229" s="2"/>
      <c r="B229" s="836" t="s">
        <v>114</v>
      </c>
      <c r="C229" s="866"/>
      <c r="D229" s="866"/>
      <c r="E229" s="866"/>
      <c r="F229" s="837"/>
      <c r="G229" s="105" t="s">
        <v>113</v>
      </c>
      <c r="H229" s="106"/>
      <c r="I229" s="88" t="s">
        <v>112</v>
      </c>
    </row>
    <row r="230" spans="1:9" ht="19.5">
      <c r="A230" s="2"/>
      <c r="B230" s="135" t="s">
        <v>111</v>
      </c>
      <c r="C230" s="194"/>
      <c r="D230" s="157"/>
      <c r="E230" s="157"/>
      <c r="F230" s="158"/>
      <c r="G230" s="115"/>
      <c r="H230" s="195"/>
      <c r="I230" s="107"/>
    </row>
    <row r="231" spans="1:9" ht="19.5">
      <c r="A231" s="2"/>
      <c r="B231" s="864" t="s">
        <v>110</v>
      </c>
      <c r="C231" s="865"/>
      <c r="D231" s="865"/>
      <c r="E231" s="109" t="str">
        <f>G139</f>
        <v>639/640</v>
      </c>
      <c r="F231" s="110"/>
      <c r="H231" s="111"/>
      <c r="I231" s="62"/>
    </row>
    <row r="232" spans="1:9" ht="18.75">
      <c r="A232" s="2"/>
      <c r="B232" s="135"/>
      <c r="C232" s="113"/>
      <c r="D232" s="113"/>
      <c r="E232" s="109" t="str">
        <f>G140</f>
        <v>53100-31</v>
      </c>
      <c r="F232" s="114"/>
      <c r="G232" s="107"/>
      <c r="H232" s="107"/>
      <c r="I232" s="107"/>
    </row>
    <row r="233" spans="1:9" ht="18.75">
      <c r="A233" s="2"/>
      <c r="B233" s="135"/>
      <c r="C233" s="113"/>
      <c r="D233" s="113"/>
      <c r="E233" s="109"/>
      <c r="F233" s="114"/>
      <c r="G233" s="107"/>
      <c r="H233" s="107"/>
      <c r="I233" s="107"/>
    </row>
    <row r="234" spans="1:9" ht="15.75">
      <c r="A234" s="2"/>
      <c r="B234" s="857"/>
      <c r="C234" s="858"/>
      <c r="D234" s="858"/>
      <c r="E234" s="858"/>
      <c r="F234" s="858"/>
      <c r="G234" s="107"/>
      <c r="H234" s="107"/>
      <c r="I234" s="107"/>
    </row>
    <row r="235" spans="1:9" ht="15.75">
      <c r="A235" s="2"/>
      <c r="B235" s="859"/>
      <c r="C235" s="860"/>
      <c r="D235" s="860"/>
      <c r="E235" s="860"/>
      <c r="F235" s="860"/>
      <c r="G235" s="4" t="s">
        <v>5</v>
      </c>
      <c r="H235" s="195"/>
      <c r="I235" s="107"/>
    </row>
    <row r="236" spans="1:9" ht="19.5">
      <c r="A236" s="2"/>
      <c r="B236" s="177" t="s">
        <v>199</v>
      </c>
      <c r="C236" s="106" t="s">
        <v>144</v>
      </c>
      <c r="D236" s="157"/>
      <c r="E236" s="157"/>
      <c r="F236" s="158"/>
      <c r="G236" s="115">
        <v>151</v>
      </c>
      <c r="H236" s="196">
        <f>'Nov 2020'!Z23</f>
        <v>3000</v>
      </c>
      <c r="I236" s="117"/>
    </row>
    <row r="237" spans="1:9" ht="19.5">
      <c r="A237" s="1"/>
      <c r="B237" s="197" t="s">
        <v>145</v>
      </c>
      <c r="C237" s="113"/>
      <c r="D237" s="137"/>
      <c r="E237" s="137"/>
      <c r="F237" s="138"/>
      <c r="G237" s="198" t="s">
        <v>15</v>
      </c>
      <c r="H237" s="111"/>
      <c r="I237" s="117"/>
    </row>
    <row r="238" spans="1:9" ht="15.75">
      <c r="A238" s="1"/>
      <c r="B238" s="199" t="str">
        <f>'Nov 2020'!U4</f>
        <v>November 2020</v>
      </c>
      <c r="C238" s="200"/>
      <c r="D238" s="142"/>
      <c r="E238" s="201"/>
      <c r="F238" s="170"/>
      <c r="G238" s="107"/>
      <c r="H238" s="107"/>
      <c r="I238" s="117"/>
    </row>
    <row r="239" spans="1:9" ht="15.75">
      <c r="A239" s="1"/>
      <c r="B239" s="199"/>
      <c r="C239" s="200"/>
      <c r="D239" s="142"/>
      <c r="E239" s="201"/>
      <c r="F239" s="170"/>
      <c r="G239" s="107"/>
      <c r="H239" s="107"/>
      <c r="I239" s="117"/>
    </row>
    <row r="240" spans="1:9" ht="15.75">
      <c r="A240" s="1"/>
      <c r="B240" s="202"/>
      <c r="C240" s="128"/>
      <c r="D240" s="128"/>
      <c r="E240" s="128"/>
      <c r="F240" s="148"/>
      <c r="G240" s="107"/>
      <c r="H240" s="107"/>
      <c r="I240" s="117"/>
    </row>
    <row r="241" spans="1:9" ht="15.75">
      <c r="A241" s="1"/>
      <c r="B241" s="202"/>
      <c r="C241" s="123"/>
      <c r="D241" s="123"/>
      <c r="E241" s="123"/>
      <c r="F241" s="124"/>
      <c r="G241" s="11" t="s">
        <v>5</v>
      </c>
      <c r="H241" s="196">
        <f>H236</f>
        <v>3000</v>
      </c>
      <c r="I241" s="117"/>
    </row>
    <row r="242" spans="1:9" ht="19.5">
      <c r="A242" s="1"/>
      <c r="B242" s="126" t="s">
        <v>107</v>
      </c>
      <c r="C242" s="127"/>
      <c r="D242" s="128" t="str">
        <f>spellnumber(H241)</f>
        <v>Three Thousand  Taka and No Paisa</v>
      </c>
      <c r="E242" s="127"/>
      <c r="F242" s="127"/>
      <c r="G242" s="127"/>
      <c r="H242" s="195"/>
      <c r="I242" s="203"/>
    </row>
    <row r="243" spans="1:9" ht="15">
      <c r="A243" s="1"/>
      <c r="B243" s="11"/>
      <c r="C243" s="11"/>
      <c r="D243" s="11"/>
      <c r="E243" s="11"/>
      <c r="F243" s="11"/>
      <c r="G243" s="11"/>
      <c r="H243" s="11"/>
      <c r="I243" s="11"/>
    </row>
    <row r="244" spans="1:9" ht="15">
      <c r="A244" s="1"/>
      <c r="B244" s="130" t="s">
        <v>106</v>
      </c>
      <c r="C244" s="11"/>
      <c r="D244" s="11"/>
      <c r="E244" s="11"/>
      <c r="F244" s="11"/>
      <c r="G244" s="11"/>
      <c r="H244" s="11"/>
      <c r="I244" s="11"/>
    </row>
    <row r="245" spans="1:9" ht="15">
      <c r="A245" s="1"/>
      <c r="B245" s="11"/>
      <c r="C245" s="11"/>
      <c r="D245" s="11"/>
      <c r="E245" s="11"/>
      <c r="F245" s="11"/>
      <c r="G245" s="11"/>
      <c r="H245" s="11"/>
      <c r="I245" s="11"/>
    </row>
    <row r="246" spans="1:9" ht="15">
      <c r="A246" s="1"/>
      <c r="B246" s="131" t="s">
        <v>163</v>
      </c>
      <c r="C246" s="11"/>
      <c r="D246" s="11"/>
      <c r="E246" s="11"/>
      <c r="F246" s="130"/>
      <c r="G246" s="130"/>
      <c r="H246" s="130"/>
      <c r="I246" s="130"/>
    </row>
    <row r="247" spans="1:9" ht="15">
      <c r="A247" s="1"/>
      <c r="B247" s="131"/>
      <c r="C247" s="11"/>
      <c r="D247" s="11"/>
      <c r="E247" s="11"/>
      <c r="F247" s="130"/>
      <c r="G247" s="130"/>
      <c r="H247" s="130"/>
      <c r="I247" s="130"/>
    </row>
    <row r="248" spans="1:9" ht="15">
      <c r="A248" s="1"/>
      <c r="B248" s="131"/>
      <c r="C248" s="11"/>
      <c r="D248" s="11"/>
      <c r="E248" s="11"/>
      <c r="F248" s="130"/>
      <c r="G248" s="130"/>
      <c r="H248" s="130"/>
      <c r="I248" s="130"/>
    </row>
    <row r="249" spans="1:9">
      <c r="A249" s="1"/>
      <c r="B249" s="1"/>
      <c r="C249" s="1"/>
      <c r="D249" s="1"/>
      <c r="E249" s="1"/>
      <c r="F249" s="1"/>
      <c r="G249" s="1"/>
      <c r="H249" s="1"/>
      <c r="I249" s="1"/>
    </row>
    <row r="250" spans="1:9" ht="25.5">
      <c r="A250" s="204"/>
      <c r="B250" s="842" t="s">
        <v>90</v>
      </c>
      <c r="C250" s="842"/>
      <c r="D250" s="842"/>
      <c r="E250" s="842"/>
      <c r="F250" s="842"/>
      <c r="G250" s="842"/>
      <c r="H250" s="842"/>
      <c r="I250" s="842"/>
    </row>
    <row r="251" spans="1:9" ht="18.75">
      <c r="A251" s="205"/>
      <c r="B251" s="856" t="s">
        <v>188</v>
      </c>
      <c r="C251" s="856"/>
      <c r="D251" s="856"/>
      <c r="E251" s="856"/>
      <c r="F251" s="856"/>
      <c r="G251" s="856"/>
      <c r="H251" s="103" t="s">
        <v>115</v>
      </c>
      <c r="I251" s="104">
        <f>I2</f>
        <v>43676</v>
      </c>
    </row>
    <row r="252" spans="1:9" ht="15.75">
      <c r="A252" s="206"/>
      <c r="B252" s="11"/>
      <c r="C252" s="11"/>
      <c r="D252" s="11"/>
      <c r="E252" s="11"/>
      <c r="F252" s="11"/>
      <c r="G252" s="11"/>
      <c r="H252" s="11"/>
      <c r="I252" s="11"/>
    </row>
    <row r="253" spans="1:9" ht="26.25">
      <c r="A253" s="14"/>
      <c r="B253" s="836" t="s">
        <v>114</v>
      </c>
      <c r="C253" s="866"/>
      <c r="D253" s="866"/>
      <c r="E253" s="866"/>
      <c r="F253" s="837"/>
      <c r="G253" s="105" t="s">
        <v>113</v>
      </c>
      <c r="H253" s="106"/>
      <c r="I253" s="88" t="s">
        <v>112</v>
      </c>
    </row>
    <row r="254" spans="1:9" ht="15.75">
      <c r="A254" s="207"/>
      <c r="B254" s="846" t="s">
        <v>111</v>
      </c>
      <c r="C254" s="847"/>
      <c r="D254" s="847"/>
      <c r="E254" s="847"/>
      <c r="F254" s="848"/>
      <c r="G254" s="107"/>
      <c r="H254" s="108"/>
      <c r="I254" s="107"/>
    </row>
    <row r="255" spans="1:9" ht="19.5">
      <c r="A255" s="208"/>
      <c r="B255" s="864" t="s">
        <v>110</v>
      </c>
      <c r="C255" s="865"/>
      <c r="D255" s="865"/>
      <c r="E255" s="109" t="str">
        <f>G139</f>
        <v>639/640</v>
      </c>
      <c r="F255" s="110"/>
      <c r="G255" s="111"/>
      <c r="H255" s="111"/>
      <c r="I255" s="62"/>
    </row>
    <row r="256" spans="1:9" ht="18.75">
      <c r="A256" s="14"/>
      <c r="B256" s="112"/>
      <c r="C256" s="113"/>
      <c r="D256" s="113"/>
      <c r="E256" s="109" t="str">
        <f>G140</f>
        <v>53100-31</v>
      </c>
      <c r="F256" s="114"/>
      <c r="G256" s="107"/>
      <c r="H256" s="107"/>
      <c r="I256" s="107"/>
    </row>
    <row r="257" spans="1:12" ht="15.75">
      <c r="A257" s="208"/>
      <c r="B257" s="846"/>
      <c r="C257" s="847"/>
      <c r="D257" s="847"/>
      <c r="E257" s="847"/>
      <c r="F257" s="848"/>
      <c r="G257" s="107"/>
      <c r="H257" s="107"/>
      <c r="I257" s="107"/>
    </row>
    <row r="258" spans="1:12" ht="15.75">
      <c r="A258" s="208"/>
      <c r="B258" s="857"/>
      <c r="C258" s="858"/>
      <c r="D258" s="858"/>
      <c r="E258" s="858"/>
      <c r="F258" s="858"/>
      <c r="G258" s="107"/>
      <c r="H258" s="107"/>
      <c r="I258" s="107"/>
    </row>
    <row r="259" spans="1:12" ht="15.75">
      <c r="A259" s="208"/>
      <c r="B259" s="859"/>
      <c r="C259" s="860"/>
      <c r="D259" s="860"/>
      <c r="E259" s="860"/>
      <c r="F259" s="860"/>
      <c r="G259" s="4" t="s">
        <v>5</v>
      </c>
      <c r="H259" s="108"/>
      <c r="I259" s="107"/>
    </row>
    <row r="260" spans="1:12" ht="20.25" customHeight="1">
      <c r="A260" s="73"/>
      <c r="B260" s="209" t="s">
        <v>199</v>
      </c>
      <c r="C260" s="869" t="s">
        <v>228</v>
      </c>
      <c r="D260" s="869"/>
      <c r="E260" s="869"/>
      <c r="F260" s="870"/>
      <c r="G260" s="115">
        <v>151</v>
      </c>
      <c r="H260" s="100">
        <f>'Nov 2020'!Y10+'Nov 2020'!Y11+'Nov 2020'!Y12+'Nov 2020'!Y15</f>
        <v>16457</v>
      </c>
      <c r="I260" s="117"/>
    </row>
    <row r="261" spans="1:12" ht="17.25" customHeight="1">
      <c r="A261" s="210"/>
      <c r="B261" s="211" t="s">
        <v>143</v>
      </c>
      <c r="C261" s="164"/>
      <c r="D261" s="164"/>
      <c r="E261" s="164"/>
      <c r="F261" s="164"/>
      <c r="G261" s="107" t="s">
        <v>186</v>
      </c>
      <c r="H261" s="100"/>
      <c r="I261" s="117"/>
    </row>
    <row r="262" spans="1:12" ht="15.75">
      <c r="A262" s="210"/>
      <c r="B262" s="118" t="str">
        <f>'Nov 2020'!U4</f>
        <v>November 2020</v>
      </c>
      <c r="C262" s="119"/>
      <c r="D262" s="119"/>
      <c r="E262" s="119"/>
      <c r="F262" s="120"/>
      <c r="G262" s="160"/>
      <c r="H262" s="121"/>
      <c r="I262" s="117"/>
    </row>
    <row r="263" spans="1:12" ht="17.25" customHeight="1">
      <c r="A263" s="210"/>
      <c r="B263" s="140"/>
      <c r="C263" s="119"/>
      <c r="D263" s="128"/>
      <c r="E263" s="128"/>
      <c r="F263" s="148"/>
      <c r="G263" s="107"/>
      <c r="H263" s="121"/>
      <c r="I263" s="117"/>
    </row>
    <row r="264" spans="1:12" ht="18" customHeight="1">
      <c r="A264" s="210"/>
      <c r="B264" s="140"/>
      <c r="C264" s="119"/>
      <c r="D264" s="128"/>
      <c r="E264" s="128"/>
      <c r="F264" s="148"/>
      <c r="G264" s="107"/>
      <c r="H264" s="121"/>
      <c r="I264" s="117"/>
    </row>
    <row r="265" spans="1:12" ht="15.75">
      <c r="A265" s="210"/>
      <c r="B265" s="122"/>
      <c r="C265" s="123"/>
      <c r="D265" s="123"/>
      <c r="E265" s="123"/>
      <c r="F265" s="124"/>
      <c r="G265" s="11" t="s">
        <v>5</v>
      </c>
      <c r="H265" s="125">
        <f>SUM(H260:H264)</f>
        <v>16457</v>
      </c>
      <c r="I265" s="117"/>
      <c r="L265" s="212"/>
    </row>
    <row r="266" spans="1:12" ht="23.25" customHeight="1">
      <c r="A266" s="210"/>
      <c r="B266" s="126" t="s">
        <v>167</v>
      </c>
      <c r="C266" s="127"/>
      <c r="D266" s="128" t="str">
        <f>spellnumber(H265)</f>
        <v>Sixteen Thousand Four Hundred Fifty Seven Taka and No Paisa</v>
      </c>
      <c r="E266" s="127"/>
      <c r="F266" s="127"/>
      <c r="G266" s="127"/>
      <c r="H266" s="127"/>
      <c r="I266" s="129"/>
    </row>
    <row r="267" spans="1:12" ht="19.5">
      <c r="A267" s="213"/>
      <c r="B267" s="11"/>
      <c r="C267" s="11"/>
      <c r="D267" s="11"/>
      <c r="E267" s="11"/>
      <c r="F267" s="11"/>
      <c r="G267" s="11"/>
      <c r="H267" s="11"/>
      <c r="I267" s="11"/>
      <c r="J267" s="182"/>
    </row>
    <row r="268" spans="1:12" ht="21" customHeight="1">
      <c r="A268" s="14"/>
      <c r="B268" s="130" t="s">
        <v>106</v>
      </c>
      <c r="C268" s="11"/>
      <c r="D268" s="11"/>
      <c r="E268" s="11"/>
      <c r="F268" s="11"/>
      <c r="G268" s="11"/>
      <c r="H268" s="11"/>
      <c r="I268" s="11"/>
      <c r="J268" s="182"/>
    </row>
    <row r="269" spans="1:12" ht="15">
      <c r="A269" s="14"/>
      <c r="B269" s="11"/>
      <c r="C269" s="11"/>
      <c r="D269" s="11"/>
      <c r="E269" s="11"/>
      <c r="F269" s="11"/>
      <c r="G269" s="11"/>
      <c r="H269" s="11"/>
      <c r="I269" s="11"/>
    </row>
    <row r="270" spans="1:12" ht="19.5" customHeight="1">
      <c r="A270" s="14"/>
      <c r="B270" s="131" t="s">
        <v>125</v>
      </c>
      <c r="C270" s="11"/>
      <c r="D270" s="11"/>
      <c r="E270" s="11"/>
      <c r="F270" s="130"/>
      <c r="G270" s="130"/>
      <c r="H270" s="130"/>
      <c r="I270" s="130"/>
    </row>
    <row r="271" spans="1:12" ht="25.5">
      <c r="A271" s="204"/>
      <c r="B271" s="842" t="s">
        <v>90</v>
      </c>
      <c r="C271" s="842"/>
      <c r="D271" s="842"/>
      <c r="E271" s="842"/>
      <c r="F271" s="842"/>
      <c r="G271" s="842"/>
      <c r="H271" s="842"/>
      <c r="I271" s="842"/>
    </row>
    <row r="272" spans="1:12" ht="18.75">
      <c r="A272" s="205"/>
      <c r="B272" s="856" t="s">
        <v>188</v>
      </c>
      <c r="C272" s="856"/>
      <c r="D272" s="856"/>
      <c r="E272" s="856"/>
      <c r="F272" s="856"/>
      <c r="G272" s="856"/>
      <c r="H272" s="103" t="s">
        <v>115</v>
      </c>
      <c r="I272" s="104">
        <f>I251</f>
        <v>43676</v>
      </c>
    </row>
    <row r="273" spans="1:13" ht="15.75">
      <c r="A273" s="206"/>
      <c r="B273" s="11"/>
      <c r="C273" s="11"/>
      <c r="D273" s="11"/>
      <c r="E273" s="11"/>
      <c r="F273" s="11"/>
      <c r="G273" s="11"/>
      <c r="H273" s="11"/>
      <c r="I273" s="11"/>
    </row>
    <row r="274" spans="1:13" ht="9.75" customHeight="1">
      <c r="A274" s="14"/>
      <c r="B274" s="836" t="s">
        <v>114</v>
      </c>
      <c r="C274" s="866"/>
      <c r="D274" s="866"/>
      <c r="E274" s="866"/>
      <c r="F274" s="837"/>
      <c r="G274" s="105" t="s">
        <v>113</v>
      </c>
      <c r="H274" s="106"/>
      <c r="I274" s="88" t="s">
        <v>112</v>
      </c>
    </row>
    <row r="275" spans="1:13" ht="15.75">
      <c r="A275" s="207"/>
      <c r="B275" s="846" t="s">
        <v>111</v>
      </c>
      <c r="C275" s="847"/>
      <c r="D275" s="847"/>
      <c r="E275" s="847"/>
      <c r="F275" s="848"/>
      <c r="G275" s="107"/>
      <c r="H275" s="108"/>
      <c r="I275" s="107"/>
    </row>
    <row r="276" spans="1:13" ht="19.5">
      <c r="A276" s="208"/>
      <c r="B276" s="864" t="s">
        <v>110</v>
      </c>
      <c r="C276" s="865"/>
      <c r="D276" s="865"/>
      <c r="E276" s="109" t="str">
        <f>G162</f>
        <v>ACCOUNT CODE</v>
      </c>
      <c r="F276" s="110"/>
      <c r="G276" s="111"/>
      <c r="H276" s="111"/>
      <c r="I276" s="62"/>
    </row>
    <row r="277" spans="1:13" ht="18.75">
      <c r="A277" s="14"/>
      <c r="B277" s="112"/>
      <c r="C277" s="113"/>
      <c r="D277" s="113"/>
      <c r="E277" s="109">
        <f>G163</f>
        <v>0</v>
      </c>
      <c r="F277" s="114"/>
      <c r="G277" s="107"/>
      <c r="H277" s="107"/>
      <c r="I277" s="107"/>
    </row>
    <row r="278" spans="1:13" ht="24" customHeight="1">
      <c r="A278" s="208"/>
      <c r="B278" s="846"/>
      <c r="C278" s="847"/>
      <c r="D278" s="847"/>
      <c r="E278" s="847"/>
      <c r="F278" s="848"/>
      <c r="G278" s="107"/>
      <c r="H278" s="107"/>
      <c r="I278" s="107"/>
    </row>
    <row r="279" spans="1:13" ht="15.75">
      <c r="A279" s="208"/>
      <c r="B279" s="857"/>
      <c r="C279" s="858"/>
      <c r="D279" s="858"/>
      <c r="E279" s="858"/>
      <c r="F279" s="858"/>
      <c r="G279" s="107"/>
      <c r="H279" s="107"/>
      <c r="I279" s="107"/>
      <c r="M279" s="212"/>
    </row>
    <row r="280" spans="1:13" ht="15.75">
      <c r="A280" s="208"/>
      <c r="B280" s="859"/>
      <c r="C280" s="860"/>
      <c r="D280" s="860"/>
      <c r="E280" s="860"/>
      <c r="F280" s="860"/>
      <c r="G280" s="4" t="s">
        <v>5</v>
      </c>
      <c r="H280" s="108"/>
      <c r="I280" s="107"/>
    </row>
    <row r="281" spans="1:13" ht="19.5">
      <c r="A281" s="73"/>
      <c r="B281" s="209" t="s">
        <v>199</v>
      </c>
      <c r="C281" s="869" t="s">
        <v>142</v>
      </c>
      <c r="D281" s="869"/>
      <c r="E281" s="869"/>
      <c r="F281" s="870"/>
      <c r="G281" s="107" t="s">
        <v>186</v>
      </c>
      <c r="H281" s="100">
        <f>'Nov 2020'!Y10+'Nov 2020'!Y11+'Nov 2020'!Y12+'Nov 2020'!Y15</f>
        <v>16457</v>
      </c>
      <c r="I281" s="117"/>
      <c r="J281" s="214"/>
    </row>
    <row r="282" spans="1:13" ht="15.75">
      <c r="A282" s="210"/>
      <c r="B282" s="211" t="s">
        <v>143</v>
      </c>
      <c r="C282" s="164"/>
      <c r="D282" s="164"/>
      <c r="E282" s="164"/>
      <c r="F282" s="164"/>
      <c r="G282" s="107"/>
      <c r="H282" s="100"/>
      <c r="I282" s="117"/>
    </row>
    <row r="283" spans="1:13" ht="15.75">
      <c r="A283" s="210"/>
      <c r="B283" s="118" t="str">
        <f>B262</f>
        <v>November 2020</v>
      </c>
      <c r="C283" s="119"/>
      <c r="D283" s="119"/>
      <c r="E283" s="119"/>
      <c r="F283" s="120"/>
      <c r="G283" s="160"/>
      <c r="H283" s="121"/>
      <c r="I283" s="117"/>
    </row>
    <row r="284" spans="1:13" ht="15.75">
      <c r="A284" s="210"/>
      <c r="B284" s="140"/>
      <c r="C284" s="119"/>
      <c r="D284" s="128"/>
      <c r="E284" s="128"/>
      <c r="F284" s="148"/>
      <c r="G284" s="107"/>
      <c r="H284" s="121"/>
      <c r="I284" s="117"/>
    </row>
    <row r="285" spans="1:13" ht="15.75">
      <c r="A285" s="210"/>
      <c r="B285" s="140"/>
      <c r="C285" s="119"/>
      <c r="D285" s="128"/>
      <c r="E285" s="128"/>
      <c r="F285" s="148"/>
      <c r="G285" s="107"/>
      <c r="H285" s="121"/>
      <c r="I285" s="117"/>
    </row>
    <row r="286" spans="1:13" ht="15.75">
      <c r="A286" s="210"/>
      <c r="B286" s="122"/>
      <c r="C286" s="123"/>
      <c r="D286" s="123"/>
      <c r="E286" s="123"/>
      <c r="F286" s="124"/>
      <c r="G286" s="11" t="s">
        <v>5</v>
      </c>
      <c r="H286" s="125">
        <f>SUM(H281:H285)</f>
        <v>16457</v>
      </c>
      <c r="I286" s="117"/>
      <c r="M286" s="212"/>
    </row>
    <row r="287" spans="1:13" ht="19.5">
      <c r="A287" s="210"/>
      <c r="B287" s="126" t="s">
        <v>167</v>
      </c>
      <c r="C287" s="127"/>
      <c r="D287" s="128" t="str">
        <f>spellnumber(H286)</f>
        <v>Sixteen Thousand Four Hundred Fifty Seven Taka and No Paisa</v>
      </c>
      <c r="E287" s="127"/>
      <c r="F287" s="127"/>
      <c r="G287" s="127"/>
      <c r="H287" s="127"/>
      <c r="I287" s="129"/>
    </row>
    <row r="288" spans="1:13" ht="19.5">
      <c r="A288" s="213"/>
      <c r="B288" s="11"/>
      <c r="C288" s="11"/>
      <c r="D288" s="11"/>
      <c r="E288" s="11"/>
      <c r="F288" s="11"/>
      <c r="G288" s="11"/>
      <c r="H288" s="11"/>
      <c r="I288" s="11"/>
    </row>
    <row r="289" spans="1:9" ht="12" customHeight="1">
      <c r="A289" s="14"/>
      <c r="B289" s="130" t="s">
        <v>106</v>
      </c>
      <c r="C289" s="11"/>
      <c r="D289" s="11"/>
      <c r="E289" s="11"/>
      <c r="F289" s="11"/>
      <c r="G289" s="11"/>
      <c r="H289" s="11"/>
      <c r="I289" s="11"/>
    </row>
    <row r="290" spans="1:9" ht="22.5" customHeight="1">
      <c r="A290" s="14"/>
      <c r="B290" s="11"/>
      <c r="C290" s="11"/>
      <c r="D290" s="11"/>
      <c r="E290" s="11"/>
      <c r="F290" s="11"/>
      <c r="G290" s="11"/>
      <c r="H290" s="11"/>
      <c r="I290" s="11"/>
    </row>
    <row r="291" spans="1:9" ht="14.25" customHeight="1">
      <c r="A291" s="14"/>
      <c r="B291" s="131" t="s">
        <v>125</v>
      </c>
      <c r="C291" s="11"/>
      <c r="D291" s="11"/>
      <c r="E291" s="11"/>
      <c r="F291" s="130"/>
      <c r="G291" s="130"/>
      <c r="H291" s="130"/>
      <c r="I291" s="130"/>
    </row>
    <row r="292" spans="1:9" ht="14.25" customHeight="1">
      <c r="A292" s="14"/>
      <c r="B292" s="131"/>
      <c r="C292" s="11"/>
      <c r="D292" s="11"/>
      <c r="E292" s="11"/>
      <c r="F292" s="130"/>
      <c r="G292" s="130"/>
      <c r="H292" s="130"/>
      <c r="I292" s="130"/>
    </row>
    <row r="293" spans="1:9" ht="27" customHeight="1">
      <c r="A293" s="1"/>
      <c r="B293" s="131"/>
      <c r="C293" s="11"/>
      <c r="D293" s="11"/>
      <c r="E293" s="11"/>
      <c r="F293" s="130"/>
      <c r="G293" s="130"/>
      <c r="H293" s="130"/>
      <c r="I293" s="130"/>
    </row>
    <row r="294" spans="1:9" ht="31.5" customHeight="1">
      <c r="A294" s="1"/>
      <c r="B294" s="842" t="s">
        <v>90</v>
      </c>
      <c r="C294" s="842"/>
      <c r="D294" s="842"/>
      <c r="E294" s="842"/>
      <c r="F294" s="842"/>
      <c r="G294" s="842"/>
      <c r="H294" s="842"/>
      <c r="I294" s="842"/>
    </row>
    <row r="295" spans="1:9" ht="18.75">
      <c r="A295" s="1"/>
      <c r="B295" s="856" t="s">
        <v>188</v>
      </c>
      <c r="C295" s="856"/>
      <c r="D295" s="856"/>
      <c r="E295" s="856"/>
      <c r="F295" s="856"/>
      <c r="G295" s="856"/>
      <c r="H295" s="103" t="s">
        <v>115</v>
      </c>
      <c r="I295" s="104">
        <f>I2</f>
        <v>43676</v>
      </c>
    </row>
    <row r="296" spans="1:9" ht="15">
      <c r="A296" s="1"/>
      <c r="B296" s="11"/>
      <c r="C296" s="11"/>
      <c r="D296" s="11"/>
      <c r="E296" s="11"/>
      <c r="F296" s="11"/>
      <c r="G296" s="11"/>
      <c r="H296" s="11"/>
      <c r="I296" s="11"/>
    </row>
    <row r="297" spans="1:9" ht="25.5">
      <c r="A297" s="1"/>
      <c r="B297" s="836" t="s">
        <v>114</v>
      </c>
      <c r="C297" s="866"/>
      <c r="D297" s="866"/>
      <c r="E297" s="866"/>
      <c r="F297" s="837"/>
      <c r="G297" s="105" t="s">
        <v>113</v>
      </c>
      <c r="H297" s="106"/>
      <c r="I297" s="88" t="s">
        <v>112</v>
      </c>
    </row>
    <row r="298" spans="1:9" ht="15.75">
      <c r="A298" s="1"/>
      <c r="B298" s="846" t="s">
        <v>111</v>
      </c>
      <c r="C298" s="847"/>
      <c r="D298" s="847"/>
      <c r="E298" s="847"/>
      <c r="F298" s="848"/>
      <c r="G298" s="107"/>
      <c r="H298" s="108"/>
      <c r="I298" s="107"/>
    </row>
    <row r="299" spans="1:9" ht="19.5">
      <c r="A299" s="1"/>
      <c r="B299" s="864" t="s">
        <v>110</v>
      </c>
      <c r="C299" s="865"/>
      <c r="D299" s="865"/>
      <c r="E299" s="109" t="str">
        <f>G322</f>
        <v>639/642</v>
      </c>
      <c r="F299" s="110"/>
      <c r="G299" s="111"/>
      <c r="H299" s="111"/>
      <c r="I299" s="62"/>
    </row>
    <row r="300" spans="1:9" ht="18.75">
      <c r="A300" s="1"/>
      <c r="B300" s="112"/>
      <c r="C300" s="113"/>
      <c r="D300" s="113"/>
      <c r="E300" s="109" t="str">
        <f>G323</f>
        <v>53100-06</v>
      </c>
      <c r="F300" s="114"/>
      <c r="G300" s="107"/>
      <c r="H300" s="107"/>
      <c r="I300" s="107"/>
    </row>
    <row r="301" spans="1:9" ht="18.75">
      <c r="A301" s="1"/>
      <c r="B301" s="112"/>
      <c r="C301" s="113"/>
      <c r="D301" s="113"/>
      <c r="E301" s="109"/>
      <c r="F301" s="114"/>
      <c r="G301" s="107"/>
      <c r="H301" s="107"/>
      <c r="I301" s="107"/>
    </row>
    <row r="302" spans="1:9" ht="15.75">
      <c r="A302" s="1"/>
      <c r="B302" s="135"/>
      <c r="C302" s="137"/>
      <c r="D302" s="137"/>
      <c r="E302" s="137"/>
      <c r="F302" s="138"/>
      <c r="G302" s="107"/>
      <c r="H302" s="107"/>
      <c r="I302" s="107"/>
    </row>
    <row r="303" spans="1:9" ht="15.75">
      <c r="A303" s="1"/>
      <c r="B303" s="857"/>
      <c r="C303" s="858"/>
      <c r="D303" s="858"/>
      <c r="E303" s="858"/>
      <c r="F303" s="858"/>
      <c r="G303" s="107"/>
      <c r="H303" s="107"/>
      <c r="I303" s="107"/>
    </row>
    <row r="304" spans="1:9" ht="15.75">
      <c r="A304" s="1"/>
      <c r="B304" s="859"/>
      <c r="C304" s="860"/>
      <c r="D304" s="860"/>
      <c r="E304" s="860"/>
      <c r="F304" s="860"/>
      <c r="G304" s="4" t="s">
        <v>5</v>
      </c>
      <c r="H304" s="108"/>
      <c r="I304" s="107"/>
    </row>
    <row r="305" spans="1:9" ht="19.5">
      <c r="A305" s="1"/>
      <c r="B305" s="177" t="s">
        <v>199</v>
      </c>
      <c r="C305" s="194" t="s">
        <v>142</v>
      </c>
      <c r="D305" s="157"/>
      <c r="E305" s="157"/>
      <c r="F305" s="158"/>
      <c r="G305" s="115">
        <v>151</v>
      </c>
      <c r="H305" s="215">
        <f>'Nov 2020'!X27</f>
        <v>18466</v>
      </c>
      <c r="I305" s="117"/>
    </row>
    <row r="306" spans="1:9" ht="15.75">
      <c r="A306" s="1"/>
      <c r="B306" s="164" t="s">
        <v>140</v>
      </c>
      <c r="C306" s="164"/>
      <c r="D306" s="164"/>
      <c r="E306" s="164"/>
      <c r="F306" s="164"/>
      <c r="G306" s="107" t="s">
        <v>186</v>
      </c>
      <c r="H306" s="121"/>
      <c r="I306" s="117"/>
    </row>
    <row r="307" spans="1:9" ht="15.75">
      <c r="A307" s="1"/>
      <c r="B307" s="118" t="str">
        <f>'Nov 2020'!U4</f>
        <v>November 2020</v>
      </c>
      <c r="C307" s="119"/>
      <c r="D307" s="119"/>
      <c r="E307" s="119"/>
      <c r="F307" s="120"/>
      <c r="G307" s="160"/>
      <c r="H307" s="121"/>
      <c r="I307" s="117"/>
    </row>
    <row r="308" spans="1:9" ht="15.75">
      <c r="A308" s="1"/>
      <c r="B308" s="849"/>
      <c r="C308" s="850"/>
      <c r="D308" s="850"/>
      <c r="E308" s="850"/>
      <c r="F308" s="851"/>
      <c r="G308" s="107"/>
      <c r="H308" s="121"/>
      <c r="I308" s="117"/>
    </row>
    <row r="309" spans="1:9" ht="15.75">
      <c r="A309" s="1"/>
      <c r="B309" s="216"/>
      <c r="C309" s="217"/>
      <c r="D309" s="217"/>
      <c r="E309" s="217"/>
      <c r="F309" s="218"/>
      <c r="G309" s="107"/>
      <c r="H309" s="121"/>
      <c r="I309" s="117"/>
    </row>
    <row r="310" spans="1:9" ht="15.75">
      <c r="A310" s="1"/>
      <c r="B310" s="843"/>
      <c r="C310" s="844"/>
      <c r="D310" s="844"/>
      <c r="E310" s="844"/>
      <c r="F310" s="845"/>
      <c r="G310" s="107"/>
      <c r="H310" s="121"/>
      <c r="I310" s="117"/>
    </row>
    <row r="311" spans="1:9" ht="15.75">
      <c r="A311" s="1"/>
      <c r="B311" s="122"/>
      <c r="C311" s="123"/>
      <c r="D311" s="123"/>
      <c r="E311" s="123"/>
      <c r="F311" s="124"/>
      <c r="G311" s="11" t="s">
        <v>5</v>
      </c>
      <c r="H311" s="125">
        <f>H305</f>
        <v>18466</v>
      </c>
      <c r="I311" s="117"/>
    </row>
    <row r="312" spans="1:9" ht="19.5">
      <c r="A312" s="1"/>
      <c r="B312" s="126" t="s">
        <v>107</v>
      </c>
      <c r="C312" s="127"/>
      <c r="D312" s="128" t="str">
        <f>spellnumber(H311)</f>
        <v>Eighteen Thousand Four Hundred Sixty Six Taka and No Paisa</v>
      </c>
      <c r="E312" s="127"/>
      <c r="F312" s="127"/>
      <c r="G312" s="127"/>
      <c r="H312" s="127"/>
      <c r="I312" s="129"/>
    </row>
    <row r="313" spans="1:9" ht="15">
      <c r="A313" s="1"/>
      <c r="B313" s="11"/>
      <c r="C313" s="11"/>
      <c r="D313" s="11"/>
      <c r="E313" s="11"/>
      <c r="F313" s="11"/>
      <c r="G313" s="11"/>
      <c r="H313" s="11"/>
      <c r="I313" s="11"/>
    </row>
    <row r="314" spans="1:9" ht="15">
      <c r="A314" s="1"/>
      <c r="B314" s="130" t="s">
        <v>106</v>
      </c>
      <c r="C314" s="11"/>
      <c r="D314" s="11"/>
      <c r="E314" s="11"/>
      <c r="F314" s="11"/>
      <c r="G314" s="11"/>
      <c r="H314" s="11"/>
      <c r="I314" s="11"/>
    </row>
    <row r="315" spans="1:9" ht="15">
      <c r="A315" s="1"/>
      <c r="B315" s="11"/>
      <c r="C315" s="11"/>
      <c r="D315" s="11"/>
      <c r="E315" s="11"/>
      <c r="F315" s="11"/>
      <c r="G315" s="11"/>
      <c r="H315" s="11"/>
      <c r="I315" s="11"/>
    </row>
    <row r="316" spans="1:9" ht="15">
      <c r="A316" s="1"/>
      <c r="B316" s="131" t="s">
        <v>125</v>
      </c>
      <c r="C316" s="11"/>
      <c r="D316" s="11"/>
      <c r="E316" s="11"/>
      <c r="F316" s="130"/>
      <c r="G316" s="130"/>
      <c r="H316" s="130"/>
      <c r="I316" s="130"/>
    </row>
    <row r="317" spans="1:9" ht="15">
      <c r="A317" s="1"/>
      <c r="B317" s="131"/>
      <c r="C317" s="11"/>
      <c r="D317" s="11"/>
      <c r="E317" s="11"/>
      <c r="F317" s="130"/>
      <c r="G317" s="130"/>
      <c r="H317" s="130"/>
      <c r="I317" s="130"/>
    </row>
    <row r="318" spans="1:9" ht="25.5">
      <c r="A318" s="1"/>
      <c r="B318" s="842" t="s">
        <v>90</v>
      </c>
      <c r="C318" s="842"/>
      <c r="D318" s="842"/>
      <c r="E318" s="842"/>
      <c r="F318" s="842"/>
      <c r="G318" s="842"/>
      <c r="H318" s="842"/>
      <c r="I318" s="101"/>
    </row>
    <row r="319" spans="1:9" ht="18.75">
      <c r="A319" s="1"/>
      <c r="B319" s="856" t="s">
        <v>188</v>
      </c>
      <c r="C319" s="856"/>
      <c r="D319" s="856"/>
      <c r="E319" s="856"/>
      <c r="F319" s="856"/>
      <c r="G319" s="856"/>
      <c r="H319" s="103" t="s">
        <v>115</v>
      </c>
      <c r="I319" s="104">
        <f>I2</f>
        <v>43676</v>
      </c>
    </row>
    <row r="320" spans="1:9" ht="15">
      <c r="A320" s="1"/>
      <c r="B320" s="11"/>
      <c r="C320" s="11"/>
      <c r="D320" s="11"/>
      <c r="E320" s="11"/>
      <c r="F320" s="11"/>
      <c r="G320" s="11"/>
      <c r="H320" s="11"/>
      <c r="I320" s="11"/>
    </row>
    <row r="321" spans="1:9" ht="25.5">
      <c r="A321" s="1"/>
      <c r="B321" s="836" t="s">
        <v>114</v>
      </c>
      <c r="C321" s="866"/>
      <c r="D321" s="866"/>
      <c r="E321" s="866"/>
      <c r="F321" s="837"/>
      <c r="G321" s="105" t="s">
        <v>113</v>
      </c>
      <c r="H321" s="219"/>
      <c r="I321" s="88" t="s">
        <v>112</v>
      </c>
    </row>
    <row r="322" spans="1:9" ht="15.75">
      <c r="A322" s="1"/>
      <c r="B322" s="846" t="s">
        <v>201</v>
      </c>
      <c r="C322" s="847"/>
      <c r="D322" s="847"/>
      <c r="E322" s="847"/>
      <c r="F322" s="848"/>
      <c r="G322" s="107" t="s">
        <v>141</v>
      </c>
      <c r="H322" s="220">
        <f>'Nov 2020'!X27</f>
        <v>18466</v>
      </c>
      <c r="I322" s="107"/>
    </row>
    <row r="323" spans="1:9" ht="19.5">
      <c r="A323" s="1"/>
      <c r="B323" s="164" t="s">
        <v>140</v>
      </c>
      <c r="C323" s="136"/>
      <c r="D323" s="136"/>
      <c r="E323" s="109"/>
      <c r="F323" s="110"/>
      <c r="G323" s="107" t="s">
        <v>16</v>
      </c>
      <c r="H323" s="111"/>
      <c r="I323" s="62"/>
    </row>
    <row r="324" spans="1:9" ht="18.75">
      <c r="A324" s="1"/>
      <c r="B324" s="118" t="str">
        <f>'Nov 2020'!U4</f>
        <v>November 2020</v>
      </c>
      <c r="C324" s="113"/>
      <c r="D324" s="113"/>
      <c r="E324" s="109"/>
      <c r="F324" s="114"/>
      <c r="G324" s="107"/>
      <c r="H324" s="107"/>
      <c r="I324" s="107"/>
    </row>
    <row r="325" spans="1:9" ht="18.75">
      <c r="A325" s="1"/>
      <c r="B325" s="118"/>
      <c r="C325" s="113"/>
      <c r="D325" s="113"/>
      <c r="E325" s="109"/>
      <c r="F325" s="114"/>
      <c r="G325" s="107"/>
      <c r="H325" s="107"/>
      <c r="I325" s="107"/>
    </row>
    <row r="326" spans="1:9" ht="15.75">
      <c r="A326" s="1"/>
      <c r="B326" s="857"/>
      <c r="C326" s="858"/>
      <c r="D326" s="858"/>
      <c r="E326" s="858"/>
      <c r="F326" s="858"/>
      <c r="G326" s="107"/>
      <c r="H326" s="107"/>
      <c r="I326" s="107"/>
    </row>
    <row r="327" spans="1:9" ht="15.75">
      <c r="A327" s="1"/>
      <c r="B327" s="859"/>
      <c r="C327" s="860"/>
      <c r="D327" s="860"/>
      <c r="E327" s="860"/>
      <c r="F327" s="860"/>
      <c r="G327" s="4" t="s">
        <v>5</v>
      </c>
      <c r="H327" s="220">
        <f>H322</f>
        <v>18466</v>
      </c>
      <c r="I327" s="107"/>
    </row>
    <row r="328" spans="1:9" ht="19.5">
      <c r="A328" s="1"/>
      <c r="B328" s="221" t="s">
        <v>199</v>
      </c>
      <c r="C328" s="222"/>
      <c r="D328" s="223"/>
      <c r="E328" s="223"/>
      <c r="F328" s="224"/>
      <c r="G328" s="115"/>
      <c r="H328" s="100"/>
      <c r="I328" s="117"/>
    </row>
    <row r="329" spans="1:9" ht="18.75">
      <c r="A329" s="1"/>
      <c r="B329" s="864" t="s">
        <v>110</v>
      </c>
      <c r="C329" s="865"/>
      <c r="D329" s="865"/>
      <c r="E329" s="109">
        <f>G305</f>
        <v>151</v>
      </c>
      <c r="F329" s="148"/>
      <c r="G329" s="160"/>
      <c r="H329" s="121"/>
      <c r="I329" s="117"/>
    </row>
    <row r="330" spans="1:9" ht="18.75">
      <c r="A330" s="1"/>
      <c r="B330" s="199"/>
      <c r="C330" s="181"/>
      <c r="D330" s="181"/>
      <c r="E330" s="109" t="str">
        <f>G306</f>
        <v>20750-62</v>
      </c>
      <c r="F330" s="225"/>
      <c r="G330" s="160"/>
      <c r="H330" s="121"/>
      <c r="I330" s="117"/>
    </row>
    <row r="331" spans="1:9" ht="15.75">
      <c r="A331" s="1"/>
      <c r="B331" s="849"/>
      <c r="C331" s="850"/>
      <c r="D331" s="850"/>
      <c r="E331" s="850"/>
      <c r="F331" s="851"/>
      <c r="G331" s="107"/>
      <c r="H331" s="121"/>
      <c r="I331" s="117"/>
    </row>
    <row r="332" spans="1:9" ht="15.75">
      <c r="A332" s="1"/>
      <c r="B332" s="216"/>
      <c r="C332" s="217"/>
      <c r="D332" s="217"/>
      <c r="E332" s="217"/>
      <c r="F332" s="218"/>
      <c r="G332" s="107"/>
      <c r="H332" s="121"/>
      <c r="I332" s="117"/>
    </row>
    <row r="333" spans="1:9" ht="15.75">
      <c r="A333" s="1"/>
      <c r="B333" s="122"/>
      <c r="C333" s="123"/>
      <c r="D333" s="123"/>
      <c r="E333" s="123"/>
      <c r="F333" s="124"/>
      <c r="G333" s="11" t="s">
        <v>5</v>
      </c>
      <c r="H333" s="125"/>
      <c r="I333" s="117"/>
    </row>
    <row r="334" spans="1:9" ht="19.5">
      <c r="A334" s="1"/>
      <c r="B334" s="126" t="s">
        <v>107</v>
      </c>
      <c r="C334" s="127"/>
      <c r="D334" s="128" t="str">
        <f>spellnumber(H327)</f>
        <v>Eighteen Thousand Four Hundred Sixty Six Taka and No Paisa</v>
      </c>
      <c r="E334" s="127"/>
      <c r="F334" s="127"/>
      <c r="G334" s="127"/>
      <c r="H334" s="127"/>
      <c r="I334" s="129"/>
    </row>
    <row r="335" spans="1:9" ht="15">
      <c r="A335" s="1"/>
      <c r="B335" s="11"/>
      <c r="C335" s="11"/>
      <c r="D335" s="11"/>
      <c r="E335" s="11"/>
      <c r="F335" s="11"/>
      <c r="G335" s="11"/>
      <c r="H335" s="11"/>
      <c r="I335" s="11"/>
    </row>
    <row r="336" spans="1:9" ht="15">
      <c r="A336" s="1"/>
      <c r="B336" s="130" t="s">
        <v>106</v>
      </c>
      <c r="C336" s="11"/>
      <c r="D336" s="11"/>
      <c r="E336" s="11"/>
      <c r="F336" s="11"/>
      <c r="G336" s="11"/>
      <c r="H336" s="11"/>
      <c r="I336" s="11"/>
    </row>
    <row r="337" spans="1:9" ht="15">
      <c r="A337" s="1"/>
      <c r="B337" s="11"/>
      <c r="C337" s="11"/>
      <c r="D337" s="11"/>
      <c r="E337" s="11"/>
      <c r="F337" s="11"/>
      <c r="G337" s="11"/>
      <c r="H337" s="11"/>
      <c r="I337" s="11"/>
    </row>
    <row r="338" spans="1:9" ht="15">
      <c r="A338" s="1"/>
      <c r="B338" s="131" t="s">
        <v>125</v>
      </c>
      <c r="C338" s="11"/>
      <c r="D338" s="11"/>
      <c r="E338" s="11"/>
      <c r="F338" s="130"/>
      <c r="G338" s="130"/>
      <c r="H338" s="130"/>
      <c r="I338" s="130"/>
    </row>
    <row r="339" spans="1:9" ht="15">
      <c r="A339" s="1"/>
      <c r="B339" s="131"/>
      <c r="C339" s="11"/>
      <c r="D339" s="11"/>
      <c r="E339" s="11"/>
      <c r="F339" s="130"/>
      <c r="G339" s="130"/>
      <c r="H339" s="130"/>
      <c r="I339" s="130"/>
    </row>
    <row r="340" spans="1:9" ht="15">
      <c r="A340" s="1"/>
      <c r="B340" s="131"/>
      <c r="C340" s="11"/>
      <c r="D340" s="11"/>
      <c r="E340" s="11"/>
      <c r="F340" s="130"/>
      <c r="G340" s="130"/>
      <c r="H340" s="130"/>
      <c r="I340" s="130"/>
    </row>
    <row r="341" spans="1:9" ht="15">
      <c r="A341" s="1"/>
      <c r="B341" s="131"/>
      <c r="C341" s="11"/>
      <c r="D341" s="11"/>
      <c r="E341" s="11"/>
      <c r="F341" s="130"/>
      <c r="G341" s="130"/>
      <c r="H341" s="130"/>
      <c r="I341" s="130"/>
    </row>
    <row r="342" spans="1:9" ht="25.5">
      <c r="B342" s="842" t="s">
        <v>90</v>
      </c>
      <c r="C342" s="842"/>
      <c r="D342" s="842"/>
      <c r="E342" s="842"/>
      <c r="F342" s="842"/>
      <c r="G342" s="842"/>
      <c r="H342" s="842"/>
      <c r="I342" s="101"/>
    </row>
    <row r="343" spans="1:9" ht="18.75">
      <c r="B343" s="856" t="s">
        <v>188</v>
      </c>
      <c r="C343" s="856"/>
      <c r="D343" s="856"/>
      <c r="E343" s="856"/>
      <c r="F343" s="856"/>
      <c r="G343" s="856"/>
      <c r="H343" s="103" t="s">
        <v>115</v>
      </c>
      <c r="I343" s="104">
        <f>I2</f>
        <v>43676</v>
      </c>
    </row>
    <row r="344" spans="1:9" ht="15">
      <c r="B344" s="11"/>
      <c r="C344" s="11"/>
      <c r="D344" s="11"/>
      <c r="E344" s="11"/>
      <c r="F344" s="11"/>
      <c r="G344" s="11"/>
      <c r="H344" s="11"/>
      <c r="I344" s="11"/>
    </row>
    <row r="345" spans="1:9" ht="25.5">
      <c r="B345" s="836" t="s">
        <v>114</v>
      </c>
      <c r="C345" s="866"/>
      <c r="D345" s="866"/>
      <c r="E345" s="866"/>
      <c r="F345" s="837"/>
      <c r="G345" s="105" t="s">
        <v>113</v>
      </c>
      <c r="H345" s="106"/>
      <c r="I345" s="88" t="s">
        <v>112</v>
      </c>
    </row>
    <row r="346" spans="1:9" ht="15.75">
      <c r="B346" s="846" t="s">
        <v>111</v>
      </c>
      <c r="C346" s="847"/>
      <c r="D346" s="847"/>
      <c r="E346" s="847"/>
      <c r="F346" s="848"/>
      <c r="G346" s="107"/>
      <c r="H346" s="108"/>
      <c r="I346" s="107"/>
    </row>
    <row r="347" spans="1:9" ht="19.5">
      <c r="B347" s="864" t="s">
        <v>110</v>
      </c>
      <c r="C347" s="865"/>
      <c r="D347" s="865"/>
      <c r="E347" s="109" t="str">
        <f>G392</f>
        <v>639/671</v>
      </c>
      <c r="F347" s="110"/>
      <c r="G347" s="111"/>
      <c r="H347" s="111"/>
      <c r="I347" s="62"/>
    </row>
    <row r="348" spans="1:9" ht="18.75">
      <c r="B348" s="112"/>
      <c r="C348" s="113"/>
      <c r="D348" s="113"/>
      <c r="E348" s="109" t="str">
        <f>G393</f>
        <v>53100-25</v>
      </c>
      <c r="F348" s="114"/>
      <c r="G348" s="107"/>
      <c r="H348" s="107"/>
      <c r="I348" s="107"/>
    </row>
    <row r="349" spans="1:9" ht="18.75">
      <c r="B349" s="112"/>
      <c r="C349" s="113"/>
      <c r="D349" s="113"/>
      <c r="E349" s="109"/>
      <c r="F349" s="114"/>
      <c r="G349" s="107"/>
      <c r="H349" s="107"/>
      <c r="I349" s="107"/>
    </row>
    <row r="350" spans="1:9" ht="15.75">
      <c r="B350" s="846"/>
      <c r="C350" s="847"/>
      <c r="D350" s="847"/>
      <c r="E350" s="847"/>
      <c r="F350" s="848"/>
      <c r="G350" s="107"/>
      <c r="H350" s="107"/>
      <c r="I350" s="107"/>
    </row>
    <row r="351" spans="1:9" ht="15.75">
      <c r="B351" s="857"/>
      <c r="C351" s="858"/>
      <c r="D351" s="858"/>
      <c r="E351" s="858"/>
      <c r="F351" s="858"/>
      <c r="G351" s="107"/>
      <c r="H351" s="107"/>
      <c r="I351" s="107"/>
    </row>
    <row r="352" spans="1:9" ht="15.75">
      <c r="B352" s="859"/>
      <c r="C352" s="860"/>
      <c r="D352" s="860"/>
      <c r="E352" s="860"/>
      <c r="F352" s="860"/>
      <c r="G352" s="4" t="s">
        <v>5</v>
      </c>
      <c r="H352" s="108"/>
      <c r="I352" s="107"/>
    </row>
    <row r="353" spans="2:10" ht="19.5">
      <c r="B353" s="177" t="s">
        <v>199</v>
      </c>
      <c r="C353" s="194" t="s">
        <v>139</v>
      </c>
      <c r="D353" s="157"/>
      <c r="E353" s="157"/>
      <c r="F353" s="158"/>
      <c r="G353" s="115">
        <v>179</v>
      </c>
      <c r="H353" s="215">
        <f>'Nov 2020'!T13+'Nov 2020'!T14+'Nov 2020'!T16+'Nov 2020'!T21+'Nov 2020'!T23+'Nov 2020'!T24</f>
        <v>64275</v>
      </c>
      <c r="I353" s="117"/>
      <c r="J353" s="182" t="e">
        <f>'Nov 2020'!W27-'Nov 2020'!#REF!-'Nov 2020'!W15-'Nov 2020'!W12-'Nov 2020'!W11-'Nov 2020'!W10</f>
        <v>#REF!</v>
      </c>
    </row>
    <row r="354" spans="2:10" ht="15.75">
      <c r="B354" s="861" t="s">
        <v>138</v>
      </c>
      <c r="C354" s="862"/>
      <c r="D354" s="862"/>
      <c r="E354" s="862"/>
      <c r="F354" s="863"/>
      <c r="G354" s="107" t="s">
        <v>12</v>
      </c>
      <c r="H354" s="121"/>
      <c r="I354" s="117"/>
    </row>
    <row r="355" spans="2:10" ht="15.75">
      <c r="B355" s="179" t="str">
        <f>'Nov 2020'!U4</f>
        <v>November 2020</v>
      </c>
      <c r="C355" s="180"/>
      <c r="D355" s="119"/>
      <c r="E355" s="155"/>
      <c r="F355" s="120"/>
      <c r="G355" s="107"/>
      <c r="H355" s="121"/>
      <c r="I355" s="117"/>
    </row>
    <row r="356" spans="2:10" ht="15.75">
      <c r="B356" s="226"/>
      <c r="C356" s="200"/>
      <c r="D356" s="181"/>
      <c r="E356" s="201"/>
      <c r="F356" s="225"/>
      <c r="G356" s="107"/>
      <c r="H356" s="121"/>
      <c r="I356" s="117"/>
      <c r="J356" s="214"/>
    </row>
    <row r="357" spans="2:10" ht="15.75">
      <c r="B357" s="849"/>
      <c r="C357" s="850"/>
      <c r="D357" s="850"/>
      <c r="E357" s="850"/>
      <c r="F357" s="851"/>
      <c r="G357" s="107"/>
      <c r="H357" s="121"/>
      <c r="I357" s="117"/>
    </row>
    <row r="358" spans="2:10" ht="15.75">
      <c r="B358" s="122"/>
      <c r="C358" s="123"/>
      <c r="D358" s="123"/>
      <c r="E358" s="123"/>
      <c r="F358" s="124"/>
      <c r="G358" s="11" t="s">
        <v>5</v>
      </c>
      <c r="H358" s="125">
        <f>H353</f>
        <v>64275</v>
      </c>
      <c r="I358" s="117"/>
    </row>
    <row r="359" spans="2:10" ht="19.5">
      <c r="B359" s="126" t="s">
        <v>107</v>
      </c>
      <c r="C359" s="127"/>
      <c r="D359" s="128" t="str">
        <f>spellnumber(H358)</f>
        <v>Sixty Four Thousand Two Hundred Seventy Five Taka and No Paisa</v>
      </c>
      <c r="E359" s="127"/>
      <c r="F359" s="127"/>
      <c r="G359" s="127"/>
      <c r="H359" s="127"/>
      <c r="I359" s="129"/>
    </row>
    <row r="360" spans="2:10" ht="15">
      <c r="B360" s="11"/>
      <c r="C360" s="11"/>
      <c r="D360" s="11"/>
      <c r="E360" s="11"/>
      <c r="F360" s="11"/>
      <c r="G360" s="11"/>
      <c r="H360" s="11"/>
      <c r="I360" s="11"/>
    </row>
    <row r="361" spans="2:10" ht="15">
      <c r="B361" s="130" t="s">
        <v>106</v>
      </c>
      <c r="C361" s="11"/>
      <c r="D361" s="11"/>
      <c r="E361" s="11"/>
      <c r="F361" s="11"/>
      <c r="G361" s="11"/>
      <c r="H361" s="11"/>
      <c r="I361" s="11"/>
    </row>
    <row r="362" spans="2:10" ht="15">
      <c r="B362" s="11"/>
      <c r="C362" s="11"/>
      <c r="D362" s="11"/>
      <c r="E362" s="11"/>
      <c r="F362" s="11"/>
      <c r="G362" s="11"/>
      <c r="H362" s="11"/>
      <c r="I362" s="11"/>
    </row>
    <row r="363" spans="2:10" ht="15">
      <c r="B363" s="131" t="s">
        <v>125</v>
      </c>
      <c r="C363" s="11"/>
      <c r="D363" s="11"/>
      <c r="E363" s="11"/>
      <c r="F363" s="130"/>
      <c r="G363" s="130"/>
      <c r="H363" s="130"/>
      <c r="I363" s="130"/>
    </row>
    <row r="364" spans="2:10">
      <c r="B364" s="1"/>
      <c r="C364" s="1"/>
      <c r="D364" s="1"/>
      <c r="E364" s="1"/>
      <c r="F364" s="1"/>
      <c r="G364" s="1"/>
      <c r="H364" s="1"/>
      <c r="I364" s="1"/>
    </row>
    <row r="365" spans="2:10" ht="25.5">
      <c r="B365" s="842" t="s">
        <v>90</v>
      </c>
      <c r="C365" s="842"/>
      <c r="D365" s="842"/>
      <c r="E365" s="842"/>
      <c r="F365" s="842"/>
      <c r="G365" s="842"/>
      <c r="H365" s="842"/>
      <c r="I365" s="101"/>
    </row>
    <row r="366" spans="2:10" ht="18.75">
      <c r="B366" s="856" t="s">
        <v>188</v>
      </c>
      <c r="C366" s="856"/>
      <c r="D366" s="856"/>
      <c r="E366" s="856"/>
      <c r="F366" s="856"/>
      <c r="G366" s="856"/>
      <c r="H366" s="103" t="s">
        <v>115</v>
      </c>
      <c r="I366" s="134">
        <f>I2</f>
        <v>43676</v>
      </c>
    </row>
    <row r="367" spans="2:10" ht="15">
      <c r="B367" s="11"/>
      <c r="C367" s="11"/>
      <c r="D367" s="11"/>
      <c r="E367" s="11"/>
      <c r="F367" s="11"/>
      <c r="G367" s="11"/>
      <c r="H367" s="11"/>
      <c r="I367" s="11"/>
    </row>
    <row r="368" spans="2:10" ht="25.5">
      <c r="B368" s="836" t="s">
        <v>114</v>
      </c>
      <c r="C368" s="866"/>
      <c r="D368" s="866"/>
      <c r="E368" s="866"/>
      <c r="F368" s="837"/>
      <c r="G368" s="105" t="s">
        <v>113</v>
      </c>
      <c r="H368" s="106"/>
      <c r="I368" s="88" t="s">
        <v>112</v>
      </c>
    </row>
    <row r="369" spans="2:12" ht="18.75">
      <c r="B369" s="135" t="s">
        <v>111</v>
      </c>
      <c r="C369" s="136"/>
      <c r="D369" s="113"/>
      <c r="E369" s="137"/>
      <c r="F369" s="138"/>
      <c r="G369" s="107"/>
      <c r="H369" s="183"/>
      <c r="I369" s="107"/>
    </row>
    <row r="370" spans="2:12" ht="18.75">
      <c r="B370" s="864" t="s">
        <v>110</v>
      </c>
      <c r="C370" s="865"/>
      <c r="D370" s="865"/>
      <c r="E370" s="109" t="str">
        <f>G392</f>
        <v>639/671</v>
      </c>
      <c r="F370" s="110"/>
      <c r="G370" s="107"/>
      <c r="H370" s="139"/>
      <c r="I370" s="62"/>
    </row>
    <row r="371" spans="2:12" ht="18.75">
      <c r="B371" s="112"/>
      <c r="C371" s="113"/>
      <c r="D371" s="113"/>
      <c r="E371" s="109" t="str">
        <f>G393</f>
        <v>53100-25</v>
      </c>
      <c r="F371" s="114"/>
      <c r="G371" s="107"/>
      <c r="H371" s="139"/>
      <c r="I371" s="107"/>
    </row>
    <row r="372" spans="2:12" ht="18.75">
      <c r="B372" s="112"/>
      <c r="C372" s="113"/>
      <c r="D372" s="113"/>
      <c r="E372" s="109"/>
      <c r="F372" s="114"/>
      <c r="G372" s="107"/>
      <c r="H372" s="139"/>
      <c r="I372" s="107"/>
    </row>
    <row r="373" spans="2:12" ht="15.75">
      <c r="B373" s="140"/>
      <c r="C373" s="113"/>
      <c r="D373" s="113"/>
      <c r="E373" s="113"/>
      <c r="F373" s="114"/>
      <c r="G373" s="107"/>
      <c r="H373" s="139"/>
      <c r="I373" s="107"/>
    </row>
    <row r="374" spans="2:12" ht="15.75">
      <c r="B374" s="141"/>
      <c r="C374" s="142"/>
      <c r="D374" s="142"/>
      <c r="E374" s="142"/>
      <c r="F374" s="142"/>
      <c r="G374" s="4" t="s">
        <v>5</v>
      </c>
      <c r="H374" s="143"/>
      <c r="I374" s="107"/>
    </row>
    <row r="375" spans="2:12" ht="19.5">
      <c r="B375" s="156" t="s">
        <v>200</v>
      </c>
      <c r="C375" s="194" t="s">
        <v>137</v>
      </c>
      <c r="D375" s="157"/>
      <c r="E375" s="157"/>
      <c r="F375" s="158"/>
      <c r="G375" s="115" t="s">
        <v>136</v>
      </c>
      <c r="H375" s="144" t="e">
        <f>'Nov 2020'!#REF!</f>
        <v>#REF!</v>
      </c>
      <c r="I375" s="117"/>
      <c r="J375" s="214"/>
    </row>
    <row r="376" spans="2:12" ht="15.75">
      <c r="B376" s="861" t="s">
        <v>135</v>
      </c>
      <c r="C376" s="862"/>
      <c r="D376" s="862"/>
      <c r="E376" s="862"/>
      <c r="F376" s="863"/>
      <c r="G376" s="107" t="s">
        <v>13</v>
      </c>
      <c r="H376" s="116"/>
      <c r="I376" s="117"/>
      <c r="L376" s="212"/>
    </row>
    <row r="377" spans="2:12" ht="15.75">
      <c r="B377" s="179" t="str">
        <f>'Nov 2020'!U4</f>
        <v>November 2020</v>
      </c>
      <c r="C377" s="180"/>
      <c r="D377" s="119"/>
      <c r="E377" s="155"/>
      <c r="F377" s="120"/>
      <c r="G377" s="107"/>
      <c r="H377" s="116"/>
      <c r="I377" s="117"/>
    </row>
    <row r="378" spans="2:12" ht="18.75">
      <c r="B378" s="147"/>
      <c r="C378" s="128"/>
      <c r="D378" s="191"/>
      <c r="E378" s="136"/>
      <c r="F378" s="128"/>
      <c r="G378" s="146"/>
      <c r="H378" s="116"/>
      <c r="I378" s="117"/>
    </row>
    <row r="379" spans="2:12" ht="18.75">
      <c r="B379" s="140"/>
      <c r="C379" s="128"/>
      <c r="D379" s="128"/>
      <c r="E379" s="128"/>
      <c r="F379" s="128"/>
      <c r="G379" s="146"/>
      <c r="H379" s="116"/>
      <c r="I379" s="117"/>
    </row>
    <row r="380" spans="2:12" ht="18" customHeight="1">
      <c r="B380" s="122"/>
      <c r="C380" s="123"/>
      <c r="D380" s="123"/>
      <c r="E380" s="123"/>
      <c r="F380" s="124"/>
      <c r="G380" s="11" t="s">
        <v>5</v>
      </c>
      <c r="H380" s="125">
        <v>0</v>
      </c>
      <c r="I380" s="117"/>
      <c r="J380" s="214">
        <f>H380+H358-'Nov 2020'!T27</f>
        <v>-16453</v>
      </c>
    </row>
    <row r="381" spans="2:12" ht="19.5">
      <c r="B381" s="149" t="s">
        <v>107</v>
      </c>
      <c r="C381" s="127"/>
      <c r="D381" s="128" t="str">
        <f>spellnumber(H380)</f>
        <v>No Taka and No Paisa</v>
      </c>
      <c r="E381" s="127"/>
      <c r="F381" s="127"/>
      <c r="G381" s="127"/>
      <c r="H381" s="127"/>
      <c r="I381" s="129"/>
    </row>
    <row r="382" spans="2:12" ht="15">
      <c r="B382" s="11"/>
      <c r="C382" s="11"/>
      <c r="D382" s="11"/>
      <c r="E382" s="11"/>
      <c r="F382" s="11"/>
      <c r="G382" s="11"/>
      <c r="H382" s="11"/>
      <c r="I382" s="11"/>
    </row>
    <row r="383" spans="2:12" ht="15">
      <c r="B383" s="130" t="s">
        <v>106</v>
      </c>
      <c r="C383" s="11"/>
      <c r="D383" s="11"/>
      <c r="E383" s="11"/>
      <c r="F383" s="11"/>
      <c r="G383" s="11"/>
      <c r="H383" s="11"/>
      <c r="I383" s="11"/>
    </row>
    <row r="384" spans="2:12" ht="15">
      <c r="B384" s="11"/>
      <c r="C384" s="11"/>
      <c r="D384" s="11"/>
      <c r="E384" s="11"/>
      <c r="F384" s="11"/>
      <c r="G384" s="11"/>
      <c r="H384" s="11"/>
      <c r="I384" s="11"/>
    </row>
    <row r="385" spans="2:9" ht="15">
      <c r="B385" s="131" t="str">
        <f>B363</f>
        <v>Transfer Scroll No. …………                  OFFICER / SR. OFFICER                     PRINCIPAL OFFICER</v>
      </c>
      <c r="C385" s="11"/>
      <c r="D385" s="11"/>
      <c r="E385" s="11"/>
      <c r="F385" s="130"/>
      <c r="G385" s="130"/>
      <c r="H385" s="130"/>
      <c r="I385" s="130"/>
    </row>
    <row r="386" spans="2:9" ht="15">
      <c r="B386" s="131"/>
      <c r="C386" s="11"/>
      <c r="D386" s="11"/>
      <c r="E386" s="11"/>
      <c r="F386" s="130"/>
      <c r="G386" s="130"/>
      <c r="H386" s="130"/>
      <c r="I386" s="130"/>
    </row>
    <row r="387" spans="2:9" ht="15">
      <c r="B387" s="131"/>
      <c r="C387" s="11"/>
      <c r="D387" s="11"/>
      <c r="E387" s="11"/>
      <c r="F387" s="130"/>
      <c r="G387" s="130"/>
      <c r="H387" s="130"/>
      <c r="I387" s="130"/>
    </row>
    <row r="388" spans="2:9" ht="25.5">
      <c r="B388" s="842" t="s">
        <v>90</v>
      </c>
      <c r="C388" s="842"/>
      <c r="D388" s="842"/>
      <c r="E388" s="842"/>
      <c r="F388" s="842"/>
      <c r="G388" s="842"/>
      <c r="H388" s="842"/>
      <c r="I388" s="842"/>
    </row>
    <row r="389" spans="2:9" ht="18.75">
      <c r="B389" s="856" t="s">
        <v>188</v>
      </c>
      <c r="C389" s="856"/>
      <c r="D389" s="856"/>
      <c r="E389" s="856"/>
      <c r="F389" s="856"/>
      <c r="G389" s="856"/>
      <c r="H389" s="103" t="s">
        <v>115</v>
      </c>
      <c r="I389" s="104">
        <f>I2</f>
        <v>43676</v>
      </c>
    </row>
    <row r="390" spans="2:9" ht="15">
      <c r="B390" s="11"/>
      <c r="C390" s="11"/>
      <c r="D390" s="11"/>
      <c r="E390" s="11"/>
      <c r="F390" s="11"/>
      <c r="G390" s="11"/>
      <c r="H390" s="11"/>
      <c r="I390" s="11"/>
    </row>
    <row r="391" spans="2:9" ht="25.5">
      <c r="B391" s="836" t="s">
        <v>114</v>
      </c>
      <c r="C391" s="866"/>
      <c r="D391" s="866"/>
      <c r="E391" s="866"/>
      <c r="F391" s="837"/>
      <c r="G391" s="105" t="s">
        <v>113</v>
      </c>
      <c r="H391" s="106"/>
      <c r="I391" s="88" t="s">
        <v>112</v>
      </c>
    </row>
    <row r="392" spans="2:9" ht="15.75">
      <c r="B392" s="135" t="s">
        <v>111</v>
      </c>
      <c r="C392" s="227" t="s">
        <v>134</v>
      </c>
      <c r="D392" s="137"/>
      <c r="E392" s="137"/>
      <c r="F392" s="138"/>
      <c r="G392" s="107" t="s">
        <v>133</v>
      </c>
      <c r="H392" s="196">
        <f>'Nov 2020'!T27</f>
        <v>80728</v>
      </c>
      <c r="I392" s="107"/>
    </row>
    <row r="393" spans="2:9" ht="19.5">
      <c r="B393" s="135" t="s">
        <v>132</v>
      </c>
      <c r="C393" s="136"/>
      <c r="D393" s="136"/>
      <c r="E393" s="109"/>
      <c r="F393" s="110"/>
      <c r="G393" s="102" t="s">
        <v>14</v>
      </c>
      <c r="H393" s="111"/>
      <c r="I393" s="62"/>
    </row>
    <row r="394" spans="2:9" ht="15.75">
      <c r="B394" s="187" t="str">
        <f>'Nov 2020'!U4</f>
        <v>November 2020</v>
      </c>
      <c r="C394" s="113"/>
      <c r="D394" s="113" t="s">
        <v>131</v>
      </c>
      <c r="E394" s="113"/>
      <c r="F394" s="114"/>
      <c r="G394" s="107"/>
      <c r="H394" s="107"/>
      <c r="I394" s="107"/>
    </row>
    <row r="395" spans="2:9" ht="15.75">
      <c r="B395" s="187"/>
      <c r="C395" s="113"/>
      <c r="D395" s="113"/>
      <c r="E395" s="113"/>
      <c r="F395" s="114"/>
      <c r="G395" s="107"/>
      <c r="H395" s="107"/>
      <c r="I395" s="107"/>
    </row>
    <row r="396" spans="2:9" ht="15.75">
      <c r="B396" s="846"/>
      <c r="C396" s="847"/>
      <c r="D396" s="847"/>
      <c r="E396" s="847"/>
      <c r="F396" s="848"/>
      <c r="G396" s="107"/>
      <c r="H396" s="107"/>
      <c r="I396" s="107"/>
    </row>
    <row r="397" spans="2:9" ht="15.75">
      <c r="B397" s="857"/>
      <c r="C397" s="858"/>
      <c r="D397" s="858"/>
      <c r="E397" s="858"/>
      <c r="F397" s="858"/>
      <c r="G397" s="107"/>
      <c r="H397" s="107"/>
      <c r="I397" s="107"/>
    </row>
    <row r="398" spans="2:9" ht="15.75">
      <c r="B398" s="859"/>
      <c r="C398" s="860"/>
      <c r="D398" s="860"/>
      <c r="E398" s="860"/>
      <c r="F398" s="860"/>
      <c r="G398" s="4" t="s">
        <v>5</v>
      </c>
      <c r="H398" s="196">
        <f>H392</f>
        <v>80728</v>
      </c>
      <c r="I398" s="107"/>
    </row>
    <row r="399" spans="2:9" ht="19.5">
      <c r="B399" s="209" t="s">
        <v>199</v>
      </c>
      <c r="C399" s="106"/>
      <c r="D399" s="228"/>
      <c r="E399" s="228"/>
      <c r="F399" s="229"/>
      <c r="G399" s="230"/>
      <c r="H399" s="231"/>
      <c r="I399" s="232"/>
    </row>
    <row r="400" spans="2:9" ht="15.75">
      <c r="B400" s="135"/>
      <c r="C400" s="113" t="s">
        <v>130</v>
      </c>
      <c r="D400" s="137">
        <f>G353</f>
        <v>179</v>
      </c>
      <c r="E400" s="233" t="s">
        <v>123</v>
      </c>
      <c r="F400" s="138" t="str">
        <f>G375</f>
        <v>179-B</v>
      </c>
      <c r="G400" s="107"/>
      <c r="H400" s="121"/>
      <c r="I400" s="117"/>
    </row>
    <row r="401" spans="1:9" ht="15.75">
      <c r="B401" s="179"/>
      <c r="C401" s="180"/>
      <c r="D401" s="137" t="str">
        <f>G354</f>
        <v>20750-49</v>
      </c>
      <c r="E401" s="155"/>
      <c r="F401" s="138" t="str">
        <f>G376</f>
        <v>20750-50</v>
      </c>
      <c r="G401" s="107"/>
      <c r="H401" s="121"/>
      <c r="I401" s="117"/>
    </row>
    <row r="402" spans="1:9" ht="15.75">
      <c r="B402" s="849"/>
      <c r="C402" s="850"/>
      <c r="D402" s="850"/>
      <c r="E402" s="850"/>
      <c r="F402" s="851"/>
      <c r="G402" s="107"/>
      <c r="H402" s="121"/>
      <c r="I402" s="117"/>
    </row>
    <row r="403" spans="1:9" ht="15.75">
      <c r="B403" s="843"/>
      <c r="C403" s="844"/>
      <c r="D403" s="844"/>
      <c r="E403" s="844"/>
      <c r="F403" s="845"/>
      <c r="G403" s="107"/>
      <c r="H403" s="121"/>
      <c r="I403" s="117"/>
    </row>
    <row r="404" spans="1:9" ht="15.75">
      <c r="B404" s="122"/>
      <c r="C404" s="123"/>
      <c r="D404" s="123"/>
      <c r="E404" s="123"/>
      <c r="F404" s="124"/>
      <c r="G404" s="11" t="s">
        <v>5</v>
      </c>
      <c r="H404" s="125"/>
      <c r="I404" s="117"/>
    </row>
    <row r="405" spans="1:9" ht="19.5">
      <c r="B405" s="126" t="s">
        <v>107</v>
      </c>
      <c r="C405" s="127"/>
      <c r="D405" s="128" t="str">
        <f>spellnumber(H398)</f>
        <v>Eighty  Thousand Seven Hundred Twenty Eight Taka and No Paisa</v>
      </c>
      <c r="E405" s="127"/>
      <c r="F405" s="127"/>
      <c r="G405" s="127"/>
      <c r="H405" s="127"/>
      <c r="I405" s="129"/>
    </row>
    <row r="406" spans="1:9" ht="15">
      <c r="B406" s="11"/>
      <c r="C406" s="11"/>
      <c r="D406" s="11"/>
      <c r="E406" s="11"/>
      <c r="F406" s="11"/>
      <c r="G406" s="11"/>
      <c r="H406" s="11"/>
      <c r="I406" s="11"/>
    </row>
    <row r="407" spans="1:9" ht="15">
      <c r="B407" s="130" t="s">
        <v>106</v>
      </c>
      <c r="C407" s="11"/>
      <c r="D407" s="11"/>
      <c r="E407" s="11"/>
      <c r="F407" s="11"/>
      <c r="G407" s="11"/>
      <c r="H407" s="11"/>
      <c r="I407" s="11"/>
    </row>
    <row r="408" spans="1:9" ht="15">
      <c r="B408" s="11"/>
      <c r="C408" s="11"/>
      <c r="D408" s="11"/>
      <c r="E408" s="11"/>
      <c r="F408" s="11"/>
      <c r="G408" s="11"/>
      <c r="H408" s="11"/>
      <c r="I408" s="11"/>
    </row>
    <row r="409" spans="1:9" ht="15">
      <c r="B409" s="131" t="s">
        <v>125</v>
      </c>
      <c r="C409" s="11"/>
      <c r="D409" s="11"/>
      <c r="E409" s="11"/>
      <c r="F409" s="130"/>
      <c r="G409" s="130"/>
      <c r="H409" s="130"/>
      <c r="I409" s="130"/>
    </row>
    <row r="410" spans="1:9">
      <c r="A410" s="1"/>
      <c r="B410" s="1"/>
      <c r="C410" s="1"/>
      <c r="D410" s="1"/>
      <c r="E410" s="1"/>
      <c r="F410" s="1"/>
      <c r="G410" s="1"/>
      <c r="H410" s="1"/>
      <c r="I410" s="1"/>
    </row>
    <row r="411" spans="1:9" ht="25.5">
      <c r="B411" s="852" t="s">
        <v>90</v>
      </c>
      <c r="C411" s="852"/>
      <c r="D411" s="852"/>
      <c r="E411" s="852"/>
      <c r="F411" s="852"/>
      <c r="G411" s="852"/>
      <c r="H411" s="852"/>
      <c r="I411" s="852"/>
    </row>
    <row r="412" spans="1:9" ht="18.75">
      <c r="B412" s="273" t="s">
        <v>188</v>
      </c>
      <c r="C412" s="273"/>
      <c r="D412" s="273"/>
      <c r="E412" s="273"/>
      <c r="F412" s="273"/>
      <c r="G412" s="273"/>
      <c r="H412" s="103" t="s">
        <v>115</v>
      </c>
      <c r="I412" s="104">
        <f>I2</f>
        <v>43676</v>
      </c>
    </row>
    <row r="413" spans="1:9" ht="15">
      <c r="B413" s="11"/>
      <c r="C413" s="11"/>
      <c r="D413" s="11"/>
      <c r="E413" s="11"/>
      <c r="F413" s="11"/>
      <c r="G413" s="11"/>
      <c r="H413" s="11"/>
      <c r="I413" s="11"/>
    </row>
    <row r="414" spans="1:9" ht="25.5">
      <c r="B414" s="271" t="s">
        <v>114</v>
      </c>
      <c r="C414" s="274"/>
      <c r="D414" s="274"/>
      <c r="E414" s="274"/>
      <c r="F414" s="272"/>
      <c r="G414" s="105" t="s">
        <v>113</v>
      </c>
      <c r="H414" s="106"/>
      <c r="I414" s="88" t="s">
        <v>112</v>
      </c>
    </row>
    <row r="415" spans="1:9" ht="15.75">
      <c r="B415" s="283" t="s">
        <v>111</v>
      </c>
      <c r="C415" s="284"/>
      <c r="D415" s="284"/>
      <c r="E415" s="284"/>
      <c r="F415" s="285"/>
      <c r="G415" s="107"/>
      <c r="H415" s="108"/>
      <c r="I415" s="107"/>
    </row>
    <row r="416" spans="1:9" ht="19.5">
      <c r="B416" s="277" t="s">
        <v>110</v>
      </c>
      <c r="C416" s="278"/>
      <c r="D416" s="278"/>
      <c r="E416" s="109">
        <f>G440</f>
        <v>0</v>
      </c>
      <c r="F416" s="110"/>
      <c r="G416" s="111"/>
      <c r="H416" s="111"/>
      <c r="I416" s="62"/>
    </row>
    <row r="417" spans="2:10" ht="18.75">
      <c r="B417" s="112"/>
      <c r="C417" s="113"/>
      <c r="D417" s="113"/>
      <c r="E417" s="109">
        <f>G441</f>
        <v>0</v>
      </c>
      <c r="F417" s="114"/>
      <c r="G417" s="107"/>
      <c r="H417" s="107"/>
      <c r="I417" s="107"/>
    </row>
    <row r="418" spans="2:10" ht="15.75">
      <c r="B418" s="150"/>
      <c r="C418" s="275"/>
      <c r="D418" s="275"/>
      <c r="E418" s="275"/>
      <c r="F418" s="276"/>
      <c r="G418" s="107"/>
      <c r="H418" s="107"/>
      <c r="I418" s="107"/>
    </row>
    <row r="419" spans="2:10" ht="15.75">
      <c r="B419" s="283"/>
      <c r="C419" s="284"/>
      <c r="D419" s="284"/>
      <c r="E419" s="284"/>
      <c r="F419" s="285"/>
      <c r="G419" s="107"/>
      <c r="H419" s="107"/>
      <c r="I419" s="107"/>
    </row>
    <row r="420" spans="2:10" ht="15.75">
      <c r="B420" s="279"/>
      <c r="C420" s="280"/>
      <c r="D420" s="280"/>
      <c r="E420" s="280"/>
      <c r="F420" s="280"/>
      <c r="G420" s="107"/>
      <c r="H420" s="107"/>
      <c r="I420" s="107"/>
    </row>
    <row r="421" spans="2:10" ht="15.75">
      <c r="B421" s="281"/>
      <c r="C421" s="282"/>
      <c r="D421" s="282"/>
      <c r="E421" s="282"/>
      <c r="F421" s="282"/>
      <c r="G421" s="4" t="s">
        <v>5</v>
      </c>
      <c r="H421" s="108"/>
      <c r="I421" s="107"/>
    </row>
    <row r="422" spans="2:10" ht="19.5">
      <c r="B422" s="209" t="s">
        <v>199</v>
      </c>
      <c r="C422" s="178" t="s">
        <v>223</v>
      </c>
      <c r="D422" s="228"/>
      <c r="E422" s="228"/>
      <c r="F422" s="229"/>
      <c r="G422" s="230">
        <v>162</v>
      </c>
      <c r="H422" s="234">
        <f>'Nov 2020'!Y14+'Nov 2020'!Y16+'Nov 2020'!Y21+'Nov 2020'!Y23+'Nov 2020'!Y24</f>
        <v>19906</v>
      </c>
      <c r="I422" s="117"/>
    </row>
    <row r="423" spans="2:10" ht="15.75">
      <c r="B423" s="853" t="s">
        <v>222</v>
      </c>
      <c r="C423" s="854"/>
      <c r="D423" s="854"/>
      <c r="E423" s="854"/>
      <c r="F423" s="855"/>
      <c r="G423" s="107" t="s">
        <v>15</v>
      </c>
      <c r="H423" s="121"/>
      <c r="I423" s="117"/>
    </row>
    <row r="424" spans="2:10" ht="15.75">
      <c r="B424" s="235" t="s">
        <v>126</v>
      </c>
      <c r="C424" s="119"/>
      <c r="D424" s="236" t="str">
        <f>'Nov 2020'!U4</f>
        <v>November 2020</v>
      </c>
      <c r="E424" s="119"/>
      <c r="F424" s="120"/>
      <c r="G424" s="160"/>
      <c r="H424" s="121"/>
      <c r="I424" s="117"/>
    </row>
    <row r="425" spans="2:10" ht="15.75">
      <c r="B425" s="286"/>
      <c r="C425" s="287"/>
      <c r="D425" s="287"/>
      <c r="E425" s="287"/>
      <c r="F425" s="288"/>
      <c r="G425" s="107"/>
      <c r="H425" s="121"/>
      <c r="I425" s="117"/>
      <c r="J425" s="214"/>
    </row>
    <row r="426" spans="2:10" ht="15.75">
      <c r="B426" s="289"/>
      <c r="C426" s="290"/>
      <c r="D426" s="290"/>
      <c r="E426" s="290"/>
      <c r="F426" s="291"/>
      <c r="G426" s="107"/>
      <c r="H426" s="121"/>
      <c r="I426" s="117"/>
    </row>
    <row r="427" spans="2:10" ht="15.75">
      <c r="B427" s="122"/>
      <c r="C427" s="123"/>
      <c r="D427" s="123"/>
      <c r="E427" s="123"/>
      <c r="F427" s="124"/>
      <c r="G427" s="11" t="s">
        <v>5</v>
      </c>
      <c r="H427" s="125">
        <f>H422</f>
        <v>19906</v>
      </c>
      <c r="I427" s="117"/>
    </row>
    <row r="428" spans="2:10" ht="19.5">
      <c r="B428" s="126" t="s">
        <v>107</v>
      </c>
      <c r="C428" s="127"/>
      <c r="D428" s="128" t="str">
        <f>spellnumber(H427)</f>
        <v>Nineteen Thousand Nine Hundred Six Taka and No Paisa</v>
      </c>
      <c r="E428" s="127"/>
      <c r="F428" s="127"/>
      <c r="G428" s="127"/>
      <c r="H428" s="127"/>
      <c r="I428" s="129"/>
    </row>
    <row r="429" spans="2:10" ht="15">
      <c r="B429" s="11"/>
      <c r="C429" s="11"/>
      <c r="D429" s="11"/>
      <c r="E429" s="11"/>
      <c r="F429" s="11"/>
      <c r="G429" s="11"/>
      <c r="H429" s="11"/>
      <c r="I429" s="11"/>
    </row>
    <row r="430" spans="2:10" ht="15">
      <c r="B430" s="130" t="s">
        <v>106</v>
      </c>
      <c r="C430" s="11"/>
      <c r="D430" s="11"/>
      <c r="E430" s="11"/>
      <c r="F430" s="11"/>
      <c r="G430" s="11"/>
      <c r="H430" s="11"/>
      <c r="I430" s="11"/>
    </row>
    <row r="431" spans="2:10" ht="15">
      <c r="B431" s="11"/>
      <c r="C431" s="11"/>
      <c r="D431" s="11"/>
      <c r="E431" s="11"/>
      <c r="F431" s="11"/>
      <c r="G431" s="11"/>
      <c r="H431" s="11"/>
      <c r="I431" s="11"/>
    </row>
    <row r="432" spans="2:10" ht="15">
      <c r="B432" s="131" t="s">
        <v>125</v>
      </c>
      <c r="C432" s="11"/>
      <c r="D432" s="11"/>
      <c r="E432" s="11"/>
      <c r="F432" s="130"/>
      <c r="G432" s="130"/>
      <c r="H432" s="130"/>
      <c r="I432" s="130"/>
    </row>
    <row r="433" spans="1:9" ht="15">
      <c r="B433" s="131"/>
      <c r="C433" s="11"/>
      <c r="D433" s="11"/>
      <c r="E433" s="11"/>
      <c r="F433" s="130"/>
      <c r="G433" s="130"/>
      <c r="H433" s="130"/>
      <c r="I433" s="130"/>
    </row>
    <row r="434" spans="1:9" ht="15">
      <c r="B434" s="131"/>
      <c r="C434" s="11"/>
      <c r="D434" s="11"/>
      <c r="E434" s="11"/>
      <c r="F434" s="130"/>
      <c r="G434" s="130"/>
      <c r="H434" s="130"/>
      <c r="I434" s="130"/>
    </row>
    <row r="435" spans="1:9">
      <c r="B435" s="1"/>
      <c r="C435" s="1"/>
      <c r="D435" s="1"/>
      <c r="E435" s="1"/>
      <c r="F435" s="1"/>
      <c r="G435" s="1"/>
      <c r="H435" s="1"/>
      <c r="I435" s="1"/>
    </row>
    <row r="436" spans="1:9" ht="25.5">
      <c r="A436" s="852" t="s">
        <v>90</v>
      </c>
      <c r="B436" s="852"/>
      <c r="C436" s="852"/>
      <c r="D436" s="852"/>
      <c r="E436" s="852"/>
      <c r="F436" s="852"/>
      <c r="G436" s="852"/>
      <c r="H436" s="852"/>
      <c r="I436" s="852"/>
    </row>
    <row r="437" spans="1:9" ht="18.75">
      <c r="B437" s="273" t="s">
        <v>188</v>
      </c>
      <c r="C437" s="273"/>
      <c r="D437" s="273"/>
      <c r="E437" s="273"/>
      <c r="F437" s="273"/>
      <c r="G437" s="273"/>
      <c r="H437" s="103" t="s">
        <v>115</v>
      </c>
      <c r="I437" s="134">
        <f>I2</f>
        <v>43676</v>
      </c>
    </row>
    <row r="438" spans="1:9" ht="15">
      <c r="B438" s="11"/>
      <c r="C438" s="11"/>
      <c r="D438" s="11"/>
      <c r="E438" s="11"/>
      <c r="F438" s="11"/>
      <c r="G438" s="11"/>
      <c r="H438" s="11"/>
      <c r="I438" s="11"/>
    </row>
    <row r="439" spans="1:9" ht="25.5">
      <c r="B439" s="271" t="s">
        <v>114</v>
      </c>
      <c r="C439" s="274"/>
      <c r="D439" s="274"/>
      <c r="E439" s="274"/>
      <c r="F439" s="272"/>
      <c r="G439" s="105" t="s">
        <v>113</v>
      </c>
      <c r="H439" s="106"/>
      <c r="I439" s="88" t="s">
        <v>112</v>
      </c>
    </row>
    <row r="440" spans="1:9" ht="15.75">
      <c r="B440" s="283" t="s">
        <v>111</v>
      </c>
      <c r="C440" s="284"/>
      <c r="D440" s="284"/>
      <c r="E440" s="284"/>
      <c r="F440" s="285"/>
      <c r="G440" s="107"/>
      <c r="H440" s="108"/>
      <c r="I440" s="107"/>
    </row>
    <row r="441" spans="1:9" ht="19.5">
      <c r="B441" s="277" t="s">
        <v>110</v>
      </c>
      <c r="C441" s="278"/>
      <c r="D441" s="278"/>
      <c r="E441" s="109" t="str">
        <f>G465</f>
        <v>TK.</v>
      </c>
      <c r="F441" s="110"/>
      <c r="G441" s="111"/>
      <c r="H441" s="111"/>
      <c r="I441" s="62"/>
    </row>
    <row r="442" spans="1:9" ht="18.75">
      <c r="B442" s="112"/>
      <c r="C442" s="113"/>
      <c r="D442" s="113"/>
      <c r="E442" s="109">
        <f>G466</f>
        <v>0</v>
      </c>
      <c r="F442" s="114"/>
      <c r="G442" s="107"/>
      <c r="H442" s="107"/>
      <c r="I442" s="107"/>
    </row>
    <row r="443" spans="1:9" ht="15.75">
      <c r="B443" s="150"/>
      <c r="C443" s="275"/>
      <c r="D443" s="275"/>
      <c r="E443" s="275"/>
      <c r="F443" s="276"/>
      <c r="G443" s="107"/>
      <c r="H443" s="107"/>
      <c r="I443" s="107"/>
    </row>
    <row r="444" spans="1:9" ht="15.75">
      <c r="B444" s="283"/>
      <c r="C444" s="284"/>
      <c r="D444" s="284"/>
      <c r="E444" s="284"/>
      <c r="F444" s="285"/>
      <c r="G444" s="107"/>
      <c r="H444" s="107"/>
      <c r="I444" s="107"/>
    </row>
    <row r="445" spans="1:9" ht="15.75">
      <c r="B445" s="279"/>
      <c r="C445" s="280"/>
      <c r="D445" s="280"/>
      <c r="E445" s="280"/>
      <c r="F445" s="280"/>
      <c r="G445" s="107"/>
      <c r="H445" s="107"/>
      <c r="I445" s="107"/>
    </row>
    <row r="446" spans="1:9" ht="15.75">
      <c r="B446" s="281"/>
      <c r="C446" s="282"/>
      <c r="D446" s="282"/>
      <c r="E446" s="282"/>
      <c r="F446" s="282"/>
      <c r="G446" s="4" t="s">
        <v>5</v>
      </c>
      <c r="H446" s="108"/>
      <c r="I446" s="107"/>
    </row>
    <row r="447" spans="1:9" ht="19.5">
      <c r="B447" s="209" t="s">
        <v>199</v>
      </c>
      <c r="C447" s="178" t="s">
        <v>223</v>
      </c>
      <c r="D447" s="228"/>
      <c r="E447" s="228"/>
      <c r="F447" s="229"/>
      <c r="G447" s="230">
        <v>162</v>
      </c>
      <c r="H447" s="234" t="e">
        <f>'Nov 2020'!#REF!</f>
        <v>#REF!</v>
      </c>
      <c r="I447" s="117"/>
    </row>
    <row r="448" spans="1:9" ht="15.75">
      <c r="B448" s="853" t="s">
        <v>224</v>
      </c>
      <c r="C448" s="854"/>
      <c r="D448" s="854"/>
      <c r="E448" s="854"/>
      <c r="F448" s="855"/>
      <c r="G448" s="107" t="s">
        <v>187</v>
      </c>
      <c r="H448" s="121"/>
      <c r="I448" s="117"/>
    </row>
    <row r="449" spans="1:10" ht="15.75">
      <c r="B449" s="235"/>
      <c r="C449" s="119"/>
      <c r="D449" s="236"/>
      <c r="E449" s="119"/>
      <c r="F449" s="120"/>
      <c r="G449" s="160"/>
      <c r="H449" s="121"/>
      <c r="I449" s="117"/>
    </row>
    <row r="450" spans="1:10" ht="15.75">
      <c r="B450" s="286"/>
      <c r="C450" s="287"/>
      <c r="D450" s="287"/>
      <c r="E450" s="287"/>
      <c r="F450" s="288"/>
      <c r="G450" s="107"/>
      <c r="H450" s="121"/>
      <c r="I450" s="117"/>
      <c r="J450" s="214"/>
    </row>
    <row r="451" spans="1:10" ht="15.75">
      <c r="B451" s="289"/>
      <c r="C451" s="290"/>
      <c r="D451" s="290"/>
      <c r="E451" s="290"/>
      <c r="F451" s="291"/>
      <c r="G451" s="107"/>
      <c r="H451" s="121"/>
      <c r="I451" s="117"/>
    </row>
    <row r="452" spans="1:10" ht="15.75">
      <c r="B452" s="122"/>
      <c r="C452" s="123"/>
      <c r="D452" s="123"/>
      <c r="E452" s="123"/>
      <c r="F452" s="124"/>
      <c r="G452" s="11" t="s">
        <v>5</v>
      </c>
      <c r="H452" s="125" t="e">
        <f>H447</f>
        <v>#REF!</v>
      </c>
      <c r="I452" s="117"/>
    </row>
    <row r="453" spans="1:10" ht="15">
      <c r="B453" s="130" t="s">
        <v>106</v>
      </c>
      <c r="C453" s="11"/>
      <c r="D453" s="11"/>
      <c r="E453" s="11"/>
      <c r="F453" s="11"/>
      <c r="G453" s="11"/>
      <c r="H453" s="11"/>
      <c r="I453" s="11"/>
    </row>
    <row r="454" spans="1:10" ht="15">
      <c r="B454" s="11"/>
      <c r="C454" s="11"/>
      <c r="D454" s="11"/>
      <c r="E454" s="11"/>
      <c r="F454" s="11"/>
      <c r="G454" s="11"/>
      <c r="H454" s="11"/>
      <c r="I454" s="11"/>
    </row>
    <row r="455" spans="1:10" ht="15">
      <c r="B455" s="131" t="str">
        <f>B432</f>
        <v>Transfer Scroll No. …………                  OFFICER / SR. OFFICER                     PRINCIPAL OFFICER</v>
      </c>
      <c r="C455" s="11"/>
      <c r="D455" s="11"/>
      <c r="E455" s="11"/>
      <c r="F455" s="130"/>
      <c r="G455" s="130"/>
      <c r="H455" s="130"/>
      <c r="I455" s="130"/>
    </row>
    <row r="456" spans="1:10">
      <c r="A456" s="1"/>
      <c r="B456" s="1"/>
      <c r="C456" s="1"/>
      <c r="D456" s="1"/>
      <c r="E456" s="1"/>
      <c r="F456" s="1"/>
      <c r="G456" s="1"/>
      <c r="H456" s="1"/>
      <c r="I456" s="1"/>
    </row>
    <row r="457" spans="1:10" ht="25.5">
      <c r="B457" s="842" t="s">
        <v>90</v>
      </c>
      <c r="C457" s="842"/>
      <c r="D457" s="842"/>
      <c r="E457" s="842"/>
      <c r="F457" s="842"/>
      <c r="G457" s="842"/>
      <c r="H457" s="842"/>
      <c r="I457" s="101"/>
    </row>
    <row r="458" spans="1:10" ht="16.149999999999999" customHeight="1">
      <c r="B458" s="856" t="s">
        <v>188</v>
      </c>
      <c r="C458" s="856"/>
      <c r="D458" s="856"/>
      <c r="E458" s="856"/>
      <c r="F458" s="856"/>
      <c r="G458" s="856"/>
      <c r="H458" s="103" t="s">
        <v>115</v>
      </c>
      <c r="I458" s="134">
        <f>I437</f>
        <v>43676</v>
      </c>
    </row>
    <row r="459" spans="1:10" ht="15">
      <c r="B459" s="11"/>
      <c r="C459" s="11"/>
      <c r="D459" s="11"/>
      <c r="E459" s="11"/>
      <c r="F459" s="11"/>
      <c r="G459" s="11"/>
      <c r="H459" s="11"/>
      <c r="I459" s="11"/>
    </row>
    <row r="460" spans="1:10" ht="25.5">
      <c r="B460" s="836" t="s">
        <v>114</v>
      </c>
      <c r="C460" s="866"/>
      <c r="D460" s="866"/>
      <c r="E460" s="866"/>
      <c r="F460" s="837"/>
      <c r="G460" s="105" t="s">
        <v>113</v>
      </c>
      <c r="H460" s="106"/>
      <c r="I460" s="88" t="s">
        <v>112</v>
      </c>
    </row>
    <row r="461" spans="1:10" ht="15.75">
      <c r="B461" s="135" t="s">
        <v>111</v>
      </c>
      <c r="C461" s="194" t="s">
        <v>183</v>
      </c>
      <c r="D461" s="113"/>
      <c r="E461" s="137"/>
      <c r="F461" s="138"/>
      <c r="G461" s="62" t="s">
        <v>109</v>
      </c>
      <c r="H461" s="183">
        <v>594627</v>
      </c>
      <c r="I461" s="107"/>
    </row>
    <row r="462" spans="1:10" ht="18.75">
      <c r="B462" s="140"/>
      <c r="C462" s="136"/>
      <c r="D462" s="136"/>
      <c r="E462" s="109"/>
      <c r="F462" s="110"/>
      <c r="G462" s="102" t="s">
        <v>184</v>
      </c>
      <c r="H462" s="139"/>
      <c r="I462" s="62"/>
    </row>
    <row r="463" spans="1:10" ht="15.75">
      <c r="B463" s="118">
        <f>'Nov 2020'!U24</f>
        <v>0</v>
      </c>
      <c r="C463" s="113"/>
      <c r="D463" s="113"/>
      <c r="E463" s="113"/>
      <c r="F463" s="114"/>
      <c r="G463" s="107"/>
      <c r="H463" s="139"/>
      <c r="I463" s="107"/>
    </row>
    <row r="464" spans="1:10" ht="15.75">
      <c r="B464" s="140"/>
      <c r="C464" s="113"/>
      <c r="D464" s="113"/>
      <c r="E464" s="113"/>
      <c r="F464" s="114"/>
      <c r="G464" s="107"/>
      <c r="H464" s="139"/>
      <c r="I464" s="107"/>
      <c r="J464" s="182"/>
    </row>
    <row r="465" spans="1:10" ht="15.75">
      <c r="B465" s="141"/>
      <c r="C465" s="142"/>
      <c r="D465" s="142"/>
      <c r="E465" s="142"/>
      <c r="F465" s="142"/>
      <c r="G465" s="4" t="s">
        <v>5</v>
      </c>
      <c r="H465" s="143">
        <f>H461</f>
        <v>594627</v>
      </c>
      <c r="I465" s="107"/>
    </row>
    <row r="466" spans="1:10" ht="19.5">
      <c r="B466" s="156" t="s">
        <v>200</v>
      </c>
      <c r="C466" s="194"/>
      <c r="D466" s="157"/>
      <c r="E466" s="157"/>
      <c r="F466" s="158"/>
      <c r="G466" s="115"/>
      <c r="H466" s="144"/>
      <c r="I466" s="117"/>
    </row>
    <row r="467" spans="1:10" ht="18.75">
      <c r="B467" s="864" t="s">
        <v>110</v>
      </c>
      <c r="C467" s="865"/>
      <c r="D467" s="865"/>
      <c r="E467" s="237" t="s">
        <v>227</v>
      </c>
      <c r="F467" s="138"/>
      <c r="G467" s="107"/>
      <c r="H467" s="116"/>
      <c r="I467" s="117"/>
      <c r="J467" s="240"/>
    </row>
    <row r="468" spans="1:10" ht="12.75" customHeight="1">
      <c r="B468" s="179"/>
      <c r="C468" s="180"/>
      <c r="D468" s="119"/>
      <c r="E468" s="109"/>
      <c r="F468" s="120"/>
      <c r="G468" s="107"/>
      <c r="H468" s="116"/>
      <c r="I468" s="117"/>
      <c r="J468" s="3"/>
    </row>
    <row r="469" spans="1:10" ht="18.75">
      <c r="B469" s="147"/>
      <c r="C469" s="128"/>
      <c r="D469" s="191"/>
      <c r="E469" s="136"/>
      <c r="F469" s="128"/>
      <c r="G469" s="146"/>
      <c r="H469" s="116"/>
      <c r="I469" s="117"/>
      <c r="J469" s="3"/>
    </row>
    <row r="470" spans="1:10" ht="18.75">
      <c r="B470" s="140"/>
      <c r="C470" s="128"/>
      <c r="D470" s="128"/>
      <c r="E470" s="128"/>
      <c r="F470" s="128"/>
      <c r="G470" s="146"/>
      <c r="H470" s="116"/>
      <c r="I470" s="117"/>
      <c r="J470" s="3"/>
    </row>
    <row r="471" spans="1:10" ht="15.75">
      <c r="B471" s="122"/>
      <c r="C471" s="123"/>
      <c r="D471" s="123"/>
      <c r="E471" s="123"/>
      <c r="F471" s="124"/>
      <c r="G471" s="11" t="s">
        <v>5</v>
      </c>
      <c r="H471" s="125"/>
      <c r="I471" s="117"/>
      <c r="J471" s="3"/>
    </row>
    <row r="472" spans="1:10" ht="19.5">
      <c r="B472" s="149" t="s">
        <v>107</v>
      </c>
      <c r="C472" s="127"/>
      <c r="D472" s="128" t="str">
        <f>spellnumber(H465)</f>
        <v>Five Hundred Ninety Four Thousand Six Hundred Twenty Seven Taka and No Paisa</v>
      </c>
      <c r="E472" s="127"/>
      <c r="F472" s="127"/>
      <c r="G472" s="127"/>
      <c r="H472" s="127"/>
      <c r="I472" s="129"/>
      <c r="J472" s="3"/>
    </row>
    <row r="473" spans="1:10" ht="15">
      <c r="B473" s="11"/>
      <c r="C473" s="11"/>
      <c r="D473" s="11"/>
      <c r="E473" s="11"/>
      <c r="F473" s="11"/>
      <c r="G473" s="11"/>
      <c r="H473" s="11"/>
      <c r="I473" s="11"/>
      <c r="J473" s="3"/>
    </row>
    <row r="474" spans="1:10" ht="15">
      <c r="B474" s="130" t="s">
        <v>106</v>
      </c>
      <c r="C474" s="11"/>
      <c r="D474" s="11"/>
      <c r="E474" s="11"/>
      <c r="F474" s="11"/>
      <c r="G474" s="11"/>
      <c r="H474" s="11"/>
      <c r="I474" s="11"/>
      <c r="J474" s="3"/>
    </row>
    <row r="475" spans="1:10" ht="15">
      <c r="B475" s="11"/>
      <c r="C475" s="11"/>
      <c r="D475" s="11"/>
      <c r="E475" s="11"/>
      <c r="F475" s="11"/>
      <c r="G475" s="11"/>
      <c r="H475" s="11"/>
      <c r="I475" s="11"/>
      <c r="J475" s="3"/>
    </row>
    <row r="476" spans="1:10" ht="15">
      <c r="B476" s="131" t="str">
        <f>B455</f>
        <v>Transfer Scroll No. …………                  OFFICER / SR. OFFICER                     PRINCIPAL OFFICER</v>
      </c>
      <c r="C476" s="11"/>
      <c r="D476" s="11"/>
      <c r="E476" s="11"/>
      <c r="F476" s="130"/>
      <c r="G476" s="130"/>
      <c r="H476" s="130"/>
      <c r="I476" s="130"/>
      <c r="J476" s="3"/>
    </row>
    <row r="477" spans="1:10" ht="25.5">
      <c r="A477" s="204"/>
      <c r="B477" s="842" t="s">
        <v>90</v>
      </c>
      <c r="C477" s="842"/>
      <c r="D477" s="842"/>
      <c r="E477" s="842"/>
      <c r="F477" s="842"/>
      <c r="G477" s="842"/>
      <c r="H477" s="842"/>
      <c r="I477" s="842"/>
      <c r="J477" s="3"/>
    </row>
    <row r="478" spans="1:10" ht="18.75">
      <c r="A478" s="205"/>
      <c r="B478" s="856" t="s">
        <v>188</v>
      </c>
      <c r="C478" s="856"/>
      <c r="D478" s="856"/>
      <c r="E478" s="856"/>
      <c r="F478" s="856"/>
      <c r="G478" s="856"/>
      <c r="H478" s="103" t="s">
        <v>115</v>
      </c>
      <c r="I478" s="104">
        <f>I458</f>
        <v>43676</v>
      </c>
      <c r="J478" s="3"/>
    </row>
    <row r="479" spans="1:10" ht="15.75">
      <c r="A479" s="206"/>
      <c r="B479" s="11"/>
      <c r="C479" s="11"/>
      <c r="D479" s="11"/>
      <c r="E479" s="11"/>
      <c r="F479" s="11"/>
      <c r="G479" s="11"/>
      <c r="H479" s="11"/>
      <c r="I479" s="11"/>
      <c r="J479" s="3"/>
    </row>
    <row r="480" spans="1:10" ht="26.25">
      <c r="A480" s="14"/>
      <c r="B480" s="836" t="s">
        <v>114</v>
      </c>
      <c r="C480" s="866"/>
      <c r="D480" s="866"/>
      <c r="E480" s="866"/>
      <c r="F480" s="837"/>
      <c r="G480" s="105" t="s">
        <v>113</v>
      </c>
      <c r="H480" s="106"/>
      <c r="I480" s="88" t="s">
        <v>112</v>
      </c>
      <c r="J480" s="3"/>
    </row>
    <row r="481" spans="1:10" ht="15.75">
      <c r="A481" s="207"/>
      <c r="B481" s="846" t="s">
        <v>111</v>
      </c>
      <c r="C481" s="847"/>
      <c r="D481" s="847"/>
      <c r="E481" s="847"/>
      <c r="F481" s="848"/>
      <c r="G481" s="107"/>
      <c r="H481" s="108"/>
      <c r="I481" s="107"/>
      <c r="J481" s="3"/>
    </row>
    <row r="482" spans="1:10" ht="19.5">
      <c r="A482" s="208"/>
      <c r="B482" s="864" t="s">
        <v>110</v>
      </c>
      <c r="C482" s="865"/>
      <c r="D482" s="865"/>
      <c r="E482" s="109" t="str">
        <f>G368</f>
        <v>ACCOUNT CODE</v>
      </c>
      <c r="F482" s="110"/>
      <c r="G482" s="111"/>
      <c r="H482" s="111"/>
      <c r="I482" s="62"/>
      <c r="J482" s="26">
        <f>H482-'Nov 2020'!AB27</f>
        <v>-31416</v>
      </c>
    </row>
    <row r="483" spans="1:10" ht="17.25" customHeight="1">
      <c r="A483" s="14"/>
      <c r="B483" s="112"/>
      <c r="C483" s="113"/>
      <c r="D483" s="113"/>
      <c r="E483" s="109">
        <v>671</v>
      </c>
      <c r="F483" s="114"/>
      <c r="G483" s="107"/>
      <c r="H483" s="107"/>
      <c r="I483" s="107"/>
      <c r="J483" s="3"/>
    </row>
    <row r="484" spans="1:10" ht="17.25" customHeight="1">
      <c r="A484" s="208"/>
      <c r="B484" s="846"/>
      <c r="C484" s="847"/>
      <c r="D484" s="847"/>
      <c r="E484" s="847"/>
      <c r="F484" s="848"/>
      <c r="G484" s="107"/>
      <c r="H484" s="107"/>
      <c r="I484" s="107"/>
      <c r="J484" s="241"/>
    </row>
    <row r="485" spans="1:10" ht="15" customHeight="1">
      <c r="A485" s="208"/>
      <c r="B485" s="857"/>
      <c r="C485" s="858"/>
      <c r="D485" s="858"/>
      <c r="E485" s="858"/>
      <c r="F485" s="858"/>
      <c r="G485" s="107"/>
      <c r="H485" s="107"/>
      <c r="I485" s="107"/>
      <c r="J485" s="242"/>
    </row>
    <row r="486" spans="1:10" ht="13.9" customHeight="1">
      <c r="A486" s="208"/>
      <c r="B486" s="859"/>
      <c r="C486" s="860"/>
      <c r="D486" s="860"/>
      <c r="E486" s="860"/>
      <c r="F486" s="860"/>
      <c r="G486" s="4" t="s">
        <v>5</v>
      </c>
      <c r="H486" s="108"/>
      <c r="I486" s="107"/>
      <c r="J486" s="871" t="s">
        <v>20</v>
      </c>
    </row>
    <row r="487" spans="1:10" ht="19.5">
      <c r="A487" s="73"/>
      <c r="B487" s="209" t="s">
        <v>199</v>
      </c>
      <c r="C487" s="869" t="s">
        <v>202</v>
      </c>
      <c r="D487" s="869"/>
      <c r="E487" s="869"/>
      <c r="F487" s="870"/>
      <c r="G487" s="115">
        <v>151</v>
      </c>
      <c r="H487" s="100" t="e">
        <f>'Nov 2020'!#REF!</f>
        <v>#REF!</v>
      </c>
      <c r="I487" s="117"/>
      <c r="J487" s="872"/>
    </row>
    <row r="488" spans="1:10" ht="15.75">
      <c r="A488" s="210"/>
      <c r="B488" s="211" t="s">
        <v>143</v>
      </c>
      <c r="C488" s="164"/>
      <c r="D488" s="164"/>
      <c r="E488" s="164"/>
      <c r="F488" s="164"/>
      <c r="G488" s="107" t="s">
        <v>187</v>
      </c>
      <c r="H488" s="100"/>
      <c r="I488" s="117"/>
      <c r="J488" s="243" t="e">
        <f t="shared" ref="J488:J501" si="0">I488+G488</f>
        <v>#VALUE!</v>
      </c>
    </row>
    <row r="489" spans="1:10" ht="15.75">
      <c r="A489" s="210"/>
      <c r="B489" s="118">
        <f>'Nov 2020'!U225</f>
        <v>0</v>
      </c>
      <c r="C489" s="119"/>
      <c r="D489" s="119"/>
      <c r="E489" s="119"/>
      <c r="F489" s="120"/>
      <c r="G489" s="160"/>
      <c r="H489" s="121"/>
      <c r="I489" s="117"/>
      <c r="J489" s="243">
        <f t="shared" si="0"/>
        <v>0</v>
      </c>
    </row>
    <row r="490" spans="1:10" ht="15.75">
      <c r="A490" s="210"/>
      <c r="B490" s="140" t="s">
        <v>9</v>
      </c>
      <c r="C490" s="119">
        <f>'Nov 2020'!Y234+'Nov 2020'!Y236+'Nov 2020'!Y240+'Nov 2020'!Y244+'Nov 2020'!Y245+'Nov 2020'!Y246</f>
        <v>0</v>
      </c>
      <c r="D490" s="128"/>
      <c r="E490" s="128"/>
      <c r="F490" s="148"/>
      <c r="G490" s="107"/>
      <c r="H490" s="121"/>
      <c r="I490" s="117"/>
      <c r="J490" s="243">
        <f t="shared" si="0"/>
        <v>0</v>
      </c>
    </row>
    <row r="491" spans="1:10" ht="15.75">
      <c r="A491" s="210"/>
      <c r="B491" s="140"/>
      <c r="C491" s="119"/>
      <c r="D491" s="128"/>
      <c r="E491" s="128"/>
      <c r="F491" s="148"/>
      <c r="G491" s="107"/>
      <c r="H491" s="121"/>
      <c r="I491" s="117"/>
      <c r="J491" s="243">
        <f t="shared" si="0"/>
        <v>0</v>
      </c>
    </row>
    <row r="492" spans="1:10" ht="15.75">
      <c r="A492" s="210"/>
      <c r="B492" s="122"/>
      <c r="C492" s="123"/>
      <c r="D492" s="123"/>
      <c r="E492" s="123"/>
      <c r="F492" s="124"/>
      <c r="G492" s="11" t="s">
        <v>5</v>
      </c>
      <c r="H492" s="125" t="e">
        <f>SUM(H487:H491)</f>
        <v>#REF!</v>
      </c>
      <c r="I492" s="117"/>
      <c r="J492" s="243" t="e">
        <f t="shared" si="0"/>
        <v>#VALUE!</v>
      </c>
    </row>
    <row r="493" spans="1:10" ht="19.5">
      <c r="A493" s="210"/>
      <c r="B493" s="126" t="s">
        <v>167</v>
      </c>
      <c r="C493" s="127"/>
      <c r="D493" s="128" t="e">
        <f>spellnumber(H492)</f>
        <v>#VALUE!</v>
      </c>
      <c r="E493" s="127"/>
      <c r="F493" s="127"/>
      <c r="G493" s="127"/>
      <c r="H493" s="127"/>
      <c r="I493" s="129"/>
      <c r="J493" s="243">
        <f t="shared" si="0"/>
        <v>0</v>
      </c>
    </row>
    <row r="494" spans="1:10" ht="15">
      <c r="B494" s="130" t="s">
        <v>106</v>
      </c>
      <c r="C494" s="11"/>
      <c r="D494" s="11"/>
      <c r="E494" s="11"/>
      <c r="F494" s="11"/>
      <c r="G494" s="11"/>
      <c r="H494" s="11"/>
      <c r="I494" s="11"/>
      <c r="J494" s="3"/>
    </row>
    <row r="495" spans="1:10" ht="15">
      <c r="B495" s="11"/>
      <c r="C495" s="11"/>
      <c r="D495" s="11"/>
      <c r="E495" s="11"/>
      <c r="F495" s="11"/>
      <c r="G495" s="11"/>
      <c r="H495" s="11"/>
      <c r="I495" s="11"/>
      <c r="J495" s="3"/>
    </row>
    <row r="496" spans="1:10" ht="15">
      <c r="B496" s="131" t="str">
        <f>B476</f>
        <v>Transfer Scroll No. …………                  OFFICER / SR. OFFICER                     PRINCIPAL OFFICER</v>
      </c>
      <c r="C496" s="11"/>
      <c r="D496" s="11"/>
      <c r="E496" s="11"/>
      <c r="F496" s="130"/>
      <c r="G496" s="130"/>
      <c r="H496" s="130"/>
      <c r="I496" s="130"/>
      <c r="J496" s="3"/>
    </row>
    <row r="497" spans="1:10" ht="19.5">
      <c r="A497" s="210"/>
      <c r="B497" s="126"/>
      <c r="C497" s="127"/>
      <c r="D497" s="128"/>
      <c r="E497" s="127"/>
      <c r="F497" s="127"/>
      <c r="G497" s="127"/>
      <c r="H497" s="127"/>
      <c r="I497" s="129"/>
      <c r="J497" s="243"/>
    </row>
    <row r="498" spans="1:10" ht="19.5">
      <c r="A498" s="210"/>
      <c r="B498" s="126"/>
      <c r="C498" s="127"/>
      <c r="D498" s="128"/>
      <c r="E498" s="127"/>
      <c r="F498" s="127"/>
      <c r="G498" s="127"/>
      <c r="H498" s="127"/>
      <c r="I498" s="129"/>
      <c r="J498" s="243"/>
    </row>
    <row r="499" spans="1:10" ht="19.5">
      <c r="A499" s="210"/>
      <c r="B499" s="126"/>
      <c r="C499" s="127"/>
      <c r="D499" s="128"/>
      <c r="E499" s="127"/>
      <c r="F499" s="127"/>
      <c r="G499" s="127"/>
      <c r="H499" s="127"/>
      <c r="I499" s="129"/>
      <c r="J499" s="243"/>
    </row>
    <row r="500" spans="1:10">
      <c r="A500" s="3"/>
      <c r="B500" s="244" t="e">
        <f>B493+1</f>
        <v>#VALUE!</v>
      </c>
      <c r="C500" s="245" t="str">
        <f>'Nov 2020'!D23</f>
        <v>Md.Shahabuddin</v>
      </c>
      <c r="D500" s="246"/>
      <c r="E500" s="247" t="str">
        <f>'Nov 2020'!E23</f>
        <v>SSG-2</v>
      </c>
      <c r="F500" s="247" t="s">
        <v>160</v>
      </c>
      <c r="G500" s="248">
        <f>'Nov 2020'!AA23</f>
        <v>2400</v>
      </c>
      <c r="H500" s="249">
        <v>0</v>
      </c>
      <c r="I500" s="248">
        <f>'Nov 2020'!AA23-G500</f>
        <v>0</v>
      </c>
      <c r="J500" s="243">
        <f t="shared" si="0"/>
        <v>2400</v>
      </c>
    </row>
    <row r="501" spans="1:10">
      <c r="A501" s="3"/>
      <c r="B501" s="244" t="e">
        <f t="shared" ref="B501" si="1">B500+1</f>
        <v>#VALUE!</v>
      </c>
      <c r="C501" s="245" t="str">
        <f>'Nov 2020'!D24</f>
        <v xml:space="preserve">Md. Salim Miah </v>
      </c>
      <c r="D501" s="246"/>
      <c r="E501" s="247" t="str">
        <f>'Nov 2020'!E24</f>
        <v>SSG-2</v>
      </c>
      <c r="F501" s="247">
        <v>0</v>
      </c>
      <c r="G501" s="248">
        <v>0</v>
      </c>
      <c r="H501" s="249" t="s">
        <v>159</v>
      </c>
      <c r="I501" s="248">
        <f>'Nov 2020'!AA24-G501</f>
        <v>8690</v>
      </c>
      <c r="J501" s="243">
        <f t="shared" si="0"/>
        <v>8690</v>
      </c>
    </row>
    <row r="502" spans="1:10">
      <c r="A502" s="3"/>
      <c r="B502" s="244"/>
      <c r="C502" s="245"/>
      <c r="D502" s="246"/>
      <c r="E502" s="247"/>
      <c r="F502" s="247"/>
      <c r="G502" s="248"/>
      <c r="H502" s="249"/>
      <c r="I502" s="248"/>
      <c r="J502" s="243"/>
    </row>
    <row r="503" spans="1:10" ht="15.75">
      <c r="A503" s="3"/>
      <c r="B503" s="112" t="s">
        <v>20</v>
      </c>
      <c r="C503" s="113"/>
      <c r="D503" s="113"/>
      <c r="E503" s="113"/>
      <c r="F503" s="113"/>
      <c r="G503" s="250">
        <f>SUM(G488:G502)</f>
        <v>2400</v>
      </c>
      <c r="H503" s="250"/>
      <c r="I503" s="250">
        <f>SUM(I488:I502)</f>
        <v>8690</v>
      </c>
      <c r="J503" s="250" t="e">
        <f>SUM(J488:J502)</f>
        <v>#VALUE!</v>
      </c>
    </row>
    <row r="504" spans="1:10">
      <c r="A504" s="3"/>
      <c r="B504" s="3"/>
      <c r="C504" s="3"/>
      <c r="D504" s="3"/>
      <c r="E504" s="3"/>
      <c r="F504" s="3"/>
      <c r="G504" s="3"/>
      <c r="H504" s="3"/>
      <c r="I504" s="3"/>
      <c r="J504" s="26" t="e">
        <f>J503-'Nov 2020'!AA27</f>
        <v>#VALUE!</v>
      </c>
    </row>
    <row r="505" spans="1:10" ht="15.75">
      <c r="A505" s="3"/>
      <c r="B505" s="3"/>
      <c r="C505" s="892" t="s">
        <v>96</v>
      </c>
      <c r="D505" s="892"/>
      <c r="E505" s="892"/>
      <c r="F505" s="892"/>
      <c r="G505" s="251" t="str">
        <f>'Nov 2020'!U4</f>
        <v>November 2020</v>
      </c>
      <c r="H505" s="252"/>
      <c r="I505" s="252"/>
      <c r="J505" s="252"/>
    </row>
    <row r="506" spans="1:10" ht="18.75" customHeight="1">
      <c r="A506" s="3"/>
      <c r="B506" s="253" t="s">
        <v>91</v>
      </c>
      <c r="C506" s="253" t="s">
        <v>97</v>
      </c>
      <c r="D506" s="889" t="s">
        <v>92</v>
      </c>
      <c r="E506" s="890"/>
      <c r="F506" s="891"/>
      <c r="G506" s="254" t="s">
        <v>93</v>
      </c>
      <c r="H506" s="254" t="s">
        <v>98</v>
      </c>
      <c r="I506" s="3"/>
      <c r="J506" s="3"/>
    </row>
    <row r="507" spans="1:10">
      <c r="A507" s="3"/>
      <c r="B507" s="244">
        <v>1</v>
      </c>
      <c r="C507" s="247">
        <v>908</v>
      </c>
      <c r="D507" s="245" t="str">
        <f>'Nov 2020'!D10</f>
        <v>Shankar Kumar Bhoumik</v>
      </c>
      <c r="E507" s="246"/>
      <c r="F507" s="255"/>
      <c r="G507" s="247" t="str">
        <f>'Nov 2020'!E10</f>
        <v>AGM</v>
      </c>
      <c r="H507" s="249">
        <f>'Nov 2020'!AJ10</f>
        <v>68829</v>
      </c>
      <c r="I507" s="3"/>
      <c r="J507" s="3"/>
    </row>
    <row r="508" spans="1:10">
      <c r="A508" s="3"/>
      <c r="B508" s="244">
        <f>B507+1</f>
        <v>2</v>
      </c>
      <c r="C508" s="247">
        <v>728</v>
      </c>
      <c r="D508" s="245" t="str">
        <f>'Nov 2020'!D11</f>
        <v>Md Nuruzzaman</v>
      </c>
      <c r="E508" s="246"/>
      <c r="F508" s="255"/>
      <c r="G508" s="247" t="str">
        <f>'Nov 2020'!E11</f>
        <v>SPO</v>
      </c>
      <c r="H508" s="249">
        <f>'Nov 2020'!AJ11</f>
        <v>35843</v>
      </c>
      <c r="I508" s="3"/>
      <c r="J508" s="3"/>
    </row>
    <row r="509" spans="1:10">
      <c r="A509" s="3"/>
      <c r="B509" s="244">
        <f t="shared" ref="B509:B517" si="2">B508+1</f>
        <v>3</v>
      </c>
      <c r="C509" s="247">
        <v>878</v>
      </c>
      <c r="D509" s="245" t="str">
        <f>'Nov 2020'!D13</f>
        <v>Md Ashraful Islam</v>
      </c>
      <c r="E509" s="246"/>
      <c r="F509" s="255"/>
      <c r="G509" s="247" t="str">
        <f>'Nov 2020'!E13</f>
        <v>PO</v>
      </c>
      <c r="H509" s="249">
        <f>'Nov 2020'!AJ13</f>
        <v>35178</v>
      </c>
      <c r="I509" s="3"/>
      <c r="J509" s="3"/>
    </row>
    <row r="510" spans="1:10">
      <c r="A510" s="3"/>
      <c r="B510" s="244">
        <f t="shared" si="2"/>
        <v>4</v>
      </c>
      <c r="C510" s="247">
        <v>905</v>
      </c>
      <c r="D510" s="245" t="str">
        <f>'Nov 2020'!D12</f>
        <v>Md Zinnatul Alam</v>
      </c>
      <c r="E510" s="246"/>
      <c r="F510" s="255"/>
      <c r="G510" s="247" t="str">
        <f>'Nov 2020'!E12</f>
        <v>PO</v>
      </c>
      <c r="H510" s="249">
        <f>'Nov 2020'!AJ12</f>
        <v>51343</v>
      </c>
      <c r="I510" s="3"/>
      <c r="J510" s="3"/>
    </row>
    <row r="511" spans="1:10">
      <c r="A511" s="3"/>
      <c r="B511" s="244">
        <f t="shared" si="2"/>
        <v>5</v>
      </c>
      <c r="C511" s="247">
        <v>919</v>
      </c>
      <c r="D511" s="245" t="str">
        <f>'Nov 2020'!D14</f>
        <v>Md Hamidur Rahman Beg</v>
      </c>
      <c r="E511" s="246"/>
      <c r="F511" s="255"/>
      <c r="G511" s="247" t="str">
        <f>'Nov 2020'!E14</f>
        <v>SO</v>
      </c>
      <c r="H511" s="249">
        <f>'Nov 2020'!AJ14</f>
        <v>31114</v>
      </c>
      <c r="I511" s="3"/>
      <c r="J511" s="3"/>
    </row>
    <row r="512" spans="1:10">
      <c r="A512" s="3"/>
      <c r="B512" s="244">
        <f t="shared" si="2"/>
        <v>6</v>
      </c>
      <c r="C512" s="247">
        <v>927</v>
      </c>
      <c r="D512" s="245" t="str">
        <f>'Nov 2020'!D15</f>
        <v>Mst. Ishrat Jahan Aysha</v>
      </c>
      <c r="E512" s="246"/>
      <c r="F512" s="255"/>
      <c r="G512" s="247" t="str">
        <f>'Nov 2020'!E15</f>
        <v>SO</v>
      </c>
      <c r="H512" s="249">
        <f>'Nov 2020'!AJ15</f>
        <v>34041</v>
      </c>
      <c r="I512" s="3"/>
      <c r="J512" s="3"/>
    </row>
    <row r="513" spans="1:10">
      <c r="A513" s="3"/>
      <c r="B513" s="244">
        <f t="shared" si="2"/>
        <v>7</v>
      </c>
      <c r="C513" s="247">
        <v>924</v>
      </c>
      <c r="D513" s="245" t="str">
        <f>'Nov 2020'!D16</f>
        <v>Khadiza Begum</v>
      </c>
      <c r="E513" s="246"/>
      <c r="F513" s="255"/>
      <c r="G513" s="247" t="str">
        <f>'Nov 2020'!E16</f>
        <v>SO</v>
      </c>
      <c r="H513" s="249">
        <f>'Nov 2020'!AJ16</f>
        <v>12376</v>
      </c>
      <c r="I513" s="3"/>
      <c r="J513" s="3"/>
    </row>
    <row r="514" spans="1:10">
      <c r="A514" s="3"/>
      <c r="B514" s="244">
        <f t="shared" si="2"/>
        <v>8</v>
      </c>
      <c r="C514" s="247">
        <v>933</v>
      </c>
      <c r="D514" s="245" t="e">
        <f>'Nov 2020'!#REF!</f>
        <v>#REF!</v>
      </c>
      <c r="E514" s="246"/>
      <c r="F514" s="255"/>
      <c r="G514" s="247" t="e">
        <f>'Nov 2020'!#REF!</f>
        <v>#REF!</v>
      </c>
      <c r="H514" s="249" t="e">
        <f>'Nov 2020'!#REF!</f>
        <v>#REF!</v>
      </c>
      <c r="I514" s="3"/>
      <c r="J514" s="3"/>
    </row>
    <row r="515" spans="1:10">
      <c r="A515" s="3"/>
      <c r="B515" s="244">
        <f t="shared" si="2"/>
        <v>9</v>
      </c>
      <c r="C515" s="247">
        <v>931</v>
      </c>
      <c r="D515" s="245" t="str">
        <f>'Nov 2020'!D21</f>
        <v>Md. Abul Kashem Miah</v>
      </c>
      <c r="E515" s="246"/>
      <c r="F515" s="255"/>
      <c r="G515" s="247" t="str">
        <f>'Nov 2020'!E21</f>
        <v>SSG-1</v>
      </c>
      <c r="H515" s="249">
        <f>'Nov 2020'!AJ21</f>
        <v>9736</v>
      </c>
      <c r="I515" s="3"/>
      <c r="J515" s="3"/>
    </row>
    <row r="516" spans="1:10">
      <c r="A516" s="3"/>
      <c r="B516" s="244">
        <f t="shared" si="2"/>
        <v>10</v>
      </c>
      <c r="C516" s="247">
        <v>174</v>
      </c>
      <c r="D516" s="245" t="str">
        <f>'Nov 2020'!D23</f>
        <v>Md.Shahabuddin</v>
      </c>
      <c r="E516" s="246"/>
      <c r="F516" s="255"/>
      <c r="G516" s="247" t="str">
        <f>'Nov 2020'!E23</f>
        <v>SSG-2</v>
      </c>
      <c r="H516" s="249">
        <f>'Nov 2020'!AJ23</f>
        <v>19815</v>
      </c>
      <c r="I516" s="3"/>
      <c r="J516" s="3"/>
    </row>
    <row r="517" spans="1:10">
      <c r="A517" s="3"/>
      <c r="B517" s="244">
        <f t="shared" si="2"/>
        <v>11</v>
      </c>
      <c r="C517" s="247">
        <v>481</v>
      </c>
      <c r="D517" s="245" t="str">
        <f>'Nov 2020'!D24</f>
        <v xml:space="preserve">Md. Salim Miah </v>
      </c>
      <c r="E517" s="246"/>
      <c r="F517" s="255"/>
      <c r="G517" s="247" t="str">
        <f>'Nov 2020'!E24</f>
        <v>SSG-2</v>
      </c>
      <c r="H517" s="249">
        <f>'Nov 2020'!AJ24</f>
        <v>16311</v>
      </c>
      <c r="I517" s="3"/>
      <c r="J517" s="102"/>
    </row>
    <row r="518" spans="1:10">
      <c r="A518" s="3"/>
      <c r="B518" s="244"/>
      <c r="C518" s="247"/>
      <c r="D518" s="245"/>
      <c r="E518" s="246"/>
      <c r="F518" s="255"/>
      <c r="G518" s="247"/>
      <c r="H518" s="249"/>
      <c r="I518" s="3"/>
      <c r="J518" s="102"/>
    </row>
    <row r="519" spans="1:10" ht="13.5" thickBot="1">
      <c r="A519" s="3"/>
      <c r="B519" s="886" t="s">
        <v>99</v>
      </c>
      <c r="C519" s="887"/>
      <c r="D519" s="887"/>
      <c r="E519" s="887"/>
      <c r="F519" s="887"/>
      <c r="G519" s="888"/>
      <c r="H519" s="256" t="e">
        <f>SUM(H507:H518)</f>
        <v>#REF!</v>
      </c>
      <c r="I519" s="3"/>
      <c r="J519" s="3"/>
    </row>
    <row r="520" spans="1:10" ht="13.5" thickTop="1">
      <c r="A520" s="3"/>
      <c r="B520" s="3"/>
      <c r="C520" s="3"/>
      <c r="D520" s="3"/>
      <c r="E520" s="3"/>
      <c r="F520" s="3"/>
      <c r="G520" s="3"/>
      <c r="H520" s="3"/>
      <c r="I520" s="26"/>
      <c r="J520" s="3"/>
    </row>
    <row r="521" spans="1:10" ht="15.75">
      <c r="A521" s="3"/>
      <c r="B521" s="885" t="s">
        <v>100</v>
      </c>
      <c r="C521" s="885"/>
      <c r="D521" s="885"/>
      <c r="E521" s="885"/>
      <c r="F521" s="251" t="str">
        <f>'Nov 2020'!U4</f>
        <v>November 2020</v>
      </c>
      <c r="G521" s="240"/>
      <c r="H521" s="240"/>
      <c r="I521" s="240"/>
    </row>
    <row r="522" spans="1:10" ht="15.75" customHeight="1">
      <c r="A522" s="257"/>
      <c r="B522" s="258" t="s">
        <v>91</v>
      </c>
      <c r="C522" s="882" t="s">
        <v>92</v>
      </c>
      <c r="D522" s="883"/>
      <c r="E522" s="884"/>
      <c r="F522" s="259" t="s">
        <v>93</v>
      </c>
      <c r="G522" s="260" t="s">
        <v>94</v>
      </c>
      <c r="H522" s="261" t="s">
        <v>95</v>
      </c>
      <c r="I522" s="3"/>
    </row>
    <row r="523" spans="1:10">
      <c r="A523" s="3"/>
      <c r="B523" s="244">
        <v>1</v>
      </c>
      <c r="C523" s="262" t="str">
        <f>'Nov 2020'!D10</f>
        <v>Shankar Kumar Bhoumik</v>
      </c>
      <c r="D523" s="263"/>
      <c r="E523" s="264"/>
      <c r="F523" s="247" t="str">
        <f>'Nov 2020'!E10</f>
        <v>AGM</v>
      </c>
      <c r="G523" s="247" t="s">
        <v>162</v>
      </c>
      <c r="H523" s="249">
        <f>'Nov 2020'!AC10</f>
        <v>1605</v>
      </c>
      <c r="I523" s="3"/>
    </row>
    <row r="524" spans="1:10">
      <c r="A524" s="3"/>
      <c r="B524" s="244">
        <v>2</v>
      </c>
      <c r="C524" s="262" t="str">
        <f>'Nov 2020'!D11</f>
        <v>Md Nuruzzaman</v>
      </c>
      <c r="D524" s="263"/>
      <c r="E524" s="264"/>
      <c r="F524" s="247" t="str">
        <f>'Nov 2020'!E11</f>
        <v>SPO</v>
      </c>
      <c r="G524" s="247" t="s">
        <v>177</v>
      </c>
      <c r="H524" s="249">
        <f>'Nov 2020'!AC11</f>
        <v>1100</v>
      </c>
      <c r="I524" s="3"/>
    </row>
    <row r="525" spans="1:10">
      <c r="A525" s="3"/>
      <c r="B525" s="244">
        <f>B524+1</f>
        <v>3</v>
      </c>
      <c r="C525" s="262" t="str">
        <f>'Nov 2020'!D13</f>
        <v>Md Ashraful Islam</v>
      </c>
      <c r="D525" s="263"/>
      <c r="E525" s="264"/>
      <c r="F525" s="247" t="str">
        <f>'Nov 2020'!E13</f>
        <v>PO</v>
      </c>
      <c r="G525" s="247" t="s">
        <v>101</v>
      </c>
      <c r="H525" s="249">
        <f>'Nov 2020'!AC13</f>
        <v>1130</v>
      </c>
      <c r="I525" s="3"/>
    </row>
    <row r="526" spans="1:10">
      <c r="A526" s="3"/>
      <c r="B526" s="244">
        <f t="shared" ref="B526:B533" si="3">B525+1</f>
        <v>4</v>
      </c>
      <c r="C526" s="262" t="str">
        <f>'Nov 2020'!D12</f>
        <v>Md Zinnatul Alam</v>
      </c>
      <c r="D526" s="263"/>
      <c r="E526" s="264"/>
      <c r="F526" s="247" t="str">
        <f>'Nov 2020'!E12</f>
        <v>PO</v>
      </c>
      <c r="G526" s="247" t="s">
        <v>158</v>
      </c>
      <c r="H526" s="249">
        <f>'Nov 2020'!AC12</f>
        <v>0</v>
      </c>
      <c r="I526" s="3"/>
    </row>
    <row r="527" spans="1:10">
      <c r="A527" s="3"/>
      <c r="B527" s="244">
        <f t="shared" si="3"/>
        <v>5</v>
      </c>
      <c r="C527" s="262" t="str">
        <f>'Nov 2020'!D14</f>
        <v>Md Hamidur Rahman Beg</v>
      </c>
      <c r="D527" s="263"/>
      <c r="E527" s="264"/>
      <c r="F527" s="247" t="str">
        <f>'Nov 2020'!E14</f>
        <v>SO</v>
      </c>
      <c r="G527" s="247" t="s">
        <v>175</v>
      </c>
      <c r="H527" s="249">
        <f>'Nov 2020'!AC14</f>
        <v>0</v>
      </c>
      <c r="I527" s="3"/>
      <c r="J527" s="102"/>
    </row>
    <row r="528" spans="1:10">
      <c r="A528" s="3"/>
      <c r="B528" s="244">
        <f t="shared" si="3"/>
        <v>6</v>
      </c>
      <c r="C528" s="262" t="str">
        <f>'Nov 2020'!D15</f>
        <v>Mst. Ishrat Jahan Aysha</v>
      </c>
      <c r="D528" s="263"/>
      <c r="E528" s="264"/>
      <c r="F528" s="247" t="str">
        <f>'Nov 2020'!E15</f>
        <v>SO</v>
      </c>
      <c r="G528" s="247" t="s">
        <v>102</v>
      </c>
      <c r="H528" s="249">
        <f>'Nov 2020'!AC15</f>
        <v>0</v>
      </c>
      <c r="I528" s="265"/>
    </row>
    <row r="529" spans="1:10">
      <c r="A529" s="3"/>
      <c r="B529" s="244">
        <f t="shared" si="3"/>
        <v>7</v>
      </c>
      <c r="C529" s="262" t="str">
        <f>'Nov 2020'!D16</f>
        <v>Khadiza Begum</v>
      </c>
      <c r="D529" s="263"/>
      <c r="E529" s="264"/>
      <c r="F529" s="247" t="str">
        <f>'Nov 2020'!E16</f>
        <v>SO</v>
      </c>
      <c r="G529" s="247" t="s">
        <v>105</v>
      </c>
      <c r="H529" s="249">
        <f>'Nov 2020'!AC16</f>
        <v>1100</v>
      </c>
      <c r="I529" s="265"/>
    </row>
    <row r="530" spans="1:10">
      <c r="A530" s="3"/>
      <c r="B530" s="244">
        <f t="shared" si="3"/>
        <v>8</v>
      </c>
      <c r="C530" s="262" t="e">
        <f>'Nov 2020'!#REF!</f>
        <v>#REF!</v>
      </c>
      <c r="D530" s="263"/>
      <c r="E530" s="264"/>
      <c r="F530" s="247" t="e">
        <f>'Nov 2020'!#REF!</f>
        <v>#REF!</v>
      </c>
      <c r="G530" s="247"/>
      <c r="H530" s="249" t="e">
        <f>'Nov 2020'!#REF!</f>
        <v>#REF!</v>
      </c>
      <c r="I530" s="265"/>
    </row>
    <row r="531" spans="1:10">
      <c r="A531" s="3"/>
      <c r="B531" s="244">
        <f t="shared" si="3"/>
        <v>9</v>
      </c>
      <c r="C531" s="262" t="str">
        <f>'Nov 2020'!D21</f>
        <v>Md. Abul Kashem Miah</v>
      </c>
      <c r="D531" s="263"/>
      <c r="E531" s="264"/>
      <c r="F531" s="247" t="str">
        <f>'Nov 2020'!E21</f>
        <v>SSG-1</v>
      </c>
      <c r="G531" s="247"/>
      <c r="H531" s="249">
        <f>'Nov 2020'!AC21</f>
        <v>1100</v>
      </c>
      <c r="I531" s="265"/>
    </row>
    <row r="532" spans="1:10">
      <c r="A532" s="3"/>
      <c r="B532" s="244">
        <f t="shared" si="3"/>
        <v>10</v>
      </c>
      <c r="C532" s="262" t="str">
        <f>'Nov 2020'!D23</f>
        <v>Md.Shahabuddin</v>
      </c>
      <c r="D532" s="263"/>
      <c r="E532" s="264"/>
      <c r="F532" s="247" t="str">
        <f>'Nov 2020'!E23</f>
        <v>SSG-2</v>
      </c>
      <c r="G532" s="247" t="s">
        <v>103</v>
      </c>
      <c r="H532" s="249">
        <f>'Nov 2020'!AC23</f>
        <v>0</v>
      </c>
      <c r="I532" s="265"/>
    </row>
    <row r="533" spans="1:10">
      <c r="A533" s="3"/>
      <c r="B533" s="244">
        <f t="shared" si="3"/>
        <v>11</v>
      </c>
      <c r="C533" s="262" t="str">
        <f>'Nov 2020'!D24</f>
        <v xml:space="preserve">Md. Salim Miah </v>
      </c>
      <c r="D533" s="263"/>
      <c r="E533" s="264"/>
      <c r="F533" s="247" t="str">
        <f>'Nov 2020'!E24</f>
        <v>SSG-2</v>
      </c>
      <c r="G533" s="247" t="s">
        <v>104</v>
      </c>
      <c r="H533" s="249">
        <f>'Nov 2020'!AC24</f>
        <v>1100</v>
      </c>
      <c r="I533" s="3"/>
    </row>
    <row r="534" spans="1:10">
      <c r="A534" s="3"/>
      <c r="B534" s="244"/>
      <c r="C534" s="262"/>
      <c r="D534" s="263"/>
      <c r="E534" s="264"/>
      <c r="F534" s="247"/>
      <c r="G534" s="247"/>
      <c r="H534" s="249"/>
      <c r="I534" s="3"/>
    </row>
    <row r="535" spans="1:10">
      <c r="A535" s="3"/>
      <c r="B535" s="126" t="s">
        <v>20</v>
      </c>
      <c r="C535" s="194"/>
      <c r="D535" s="194"/>
      <c r="E535" s="194"/>
      <c r="F535" s="194"/>
      <c r="G535" s="247"/>
      <c r="H535" s="55" t="e">
        <f>SUM(H523:H534)</f>
        <v>#REF!</v>
      </c>
      <c r="I535" s="26" t="e">
        <f>H535-'Nov 2020'!AC27</f>
        <v>#REF!</v>
      </c>
    </row>
    <row r="536" spans="1:10">
      <c r="A536" s="3"/>
      <c r="B536" s="3"/>
      <c r="C536" s="3"/>
      <c r="D536" s="3"/>
      <c r="E536" s="3"/>
      <c r="F536" s="3"/>
      <c r="G536" s="3"/>
      <c r="H536" s="3"/>
      <c r="J536" s="3"/>
    </row>
    <row r="537" spans="1:10">
      <c r="A537" s="3"/>
      <c r="B537" s="3" t="e">
        <f>spellnumber(H535)</f>
        <v>#VALUE!</v>
      </c>
      <c r="C537" s="3"/>
      <c r="D537" s="3"/>
      <c r="E537" s="3"/>
      <c r="F537" s="3"/>
      <c r="G537" s="3"/>
      <c r="H537" s="3"/>
      <c r="J537" s="3"/>
    </row>
    <row r="538" spans="1:10">
      <c r="A538" s="3"/>
      <c r="B538" s="3"/>
      <c r="C538" s="3"/>
      <c r="D538" s="3"/>
      <c r="E538" s="3"/>
      <c r="F538" s="3"/>
      <c r="G538" s="3"/>
      <c r="H538" s="3"/>
      <c r="J538" s="3"/>
    </row>
    <row r="539" spans="1:10">
      <c r="A539" s="3"/>
      <c r="B539" s="3"/>
      <c r="C539" s="3"/>
      <c r="D539" s="3"/>
      <c r="E539" s="3"/>
      <c r="F539" s="3"/>
      <c r="G539" s="3"/>
      <c r="H539" s="3"/>
      <c r="J539" s="3"/>
    </row>
    <row r="540" spans="1:10">
      <c r="A540" s="3"/>
      <c r="B540" s="3"/>
      <c r="C540" s="3"/>
      <c r="D540" s="3"/>
      <c r="E540" s="3"/>
      <c r="F540" s="3"/>
      <c r="G540" s="3"/>
      <c r="H540" s="3"/>
      <c r="J540" s="3"/>
    </row>
    <row r="541" spans="1:10">
      <c r="A541" s="3"/>
      <c r="B541" s="3"/>
      <c r="C541" s="3"/>
      <c r="D541" s="3"/>
      <c r="E541" s="3"/>
      <c r="F541" s="3"/>
      <c r="G541" s="3"/>
      <c r="H541" s="3"/>
      <c r="J541" s="3"/>
    </row>
    <row r="542" spans="1:10">
      <c r="A542" s="3"/>
      <c r="B542" s="3"/>
      <c r="C542" s="3"/>
      <c r="D542" s="3"/>
      <c r="E542" s="3"/>
      <c r="F542" s="3"/>
      <c r="G542" s="3"/>
      <c r="H542" s="3"/>
      <c r="J542" s="3"/>
    </row>
    <row r="543" spans="1:10">
      <c r="A543" s="3"/>
      <c r="B543" s="3"/>
      <c r="C543" s="3"/>
      <c r="D543" s="3"/>
      <c r="E543" s="3"/>
      <c r="F543" s="3"/>
      <c r="G543" s="3"/>
      <c r="H543" s="3"/>
      <c r="J543" s="3"/>
    </row>
    <row r="544" spans="1:10">
      <c r="A544" s="3"/>
      <c r="B544" s="3"/>
      <c r="C544" s="3"/>
      <c r="D544" s="3"/>
      <c r="E544" s="3"/>
      <c r="F544" s="3"/>
      <c r="G544" s="3"/>
      <c r="H544" s="3"/>
      <c r="J544" s="3"/>
    </row>
    <row r="545" spans="1:10">
      <c r="A545" s="3"/>
      <c r="B545" s="3"/>
      <c r="C545" s="3"/>
      <c r="D545" s="3"/>
      <c r="E545" s="3"/>
      <c r="F545" s="3"/>
      <c r="G545" s="3"/>
      <c r="H545" s="3"/>
      <c r="J545" s="3"/>
    </row>
    <row r="546" spans="1:10">
      <c r="A546" s="3"/>
      <c r="B546" s="3"/>
      <c r="C546" s="3"/>
      <c r="D546" s="3"/>
      <c r="E546" s="3"/>
      <c r="F546" s="3"/>
      <c r="G546" s="3"/>
      <c r="H546" s="3"/>
      <c r="J546" s="3"/>
    </row>
    <row r="547" spans="1:10">
      <c r="A547" s="3"/>
      <c r="B547" s="3"/>
      <c r="C547" s="3"/>
      <c r="D547" s="3"/>
      <c r="E547" s="3"/>
      <c r="F547" s="3"/>
      <c r="G547" s="3"/>
      <c r="H547" s="3"/>
      <c r="J547" s="3"/>
    </row>
    <row r="548" spans="1:10">
      <c r="A548" s="3"/>
      <c r="B548" s="3"/>
      <c r="C548" s="3"/>
      <c r="D548" s="3"/>
      <c r="E548" s="3"/>
      <c r="F548" s="3"/>
      <c r="G548" s="3"/>
      <c r="H548" s="3"/>
      <c r="J548" s="3"/>
    </row>
  </sheetData>
  <mergeCells count="144">
    <mergeCell ref="B136:G136"/>
    <mergeCell ref="B138:F138"/>
    <mergeCell ref="C146:F146"/>
    <mergeCell ref="B145:F145"/>
    <mergeCell ref="B231:D231"/>
    <mergeCell ref="B204:I204"/>
    <mergeCell ref="B205:G205"/>
    <mergeCell ref="B207:F207"/>
    <mergeCell ref="B209:D209"/>
    <mergeCell ref="C522:E522"/>
    <mergeCell ref="B521:E521"/>
    <mergeCell ref="B411:I411"/>
    <mergeCell ref="B519:G519"/>
    <mergeCell ref="D506:F506"/>
    <mergeCell ref="B457:H457"/>
    <mergeCell ref="B458:G458"/>
    <mergeCell ref="B460:F460"/>
    <mergeCell ref="B467:D467"/>
    <mergeCell ref="C505:F505"/>
    <mergeCell ref="B477:I477"/>
    <mergeCell ref="B478:G478"/>
    <mergeCell ref="B480:F480"/>
    <mergeCell ref="B481:F481"/>
    <mergeCell ref="B482:D482"/>
    <mergeCell ref="B484:F484"/>
    <mergeCell ref="B485:F486"/>
    <mergeCell ref="C487:F487"/>
    <mergeCell ref="B30:D30"/>
    <mergeCell ref="B54:F55"/>
    <mergeCell ref="B104:F104"/>
    <mergeCell ref="B103:F103"/>
    <mergeCell ref="B98:F99"/>
    <mergeCell ref="B100:F100"/>
    <mergeCell ref="B60:F60"/>
    <mergeCell ref="B70:G70"/>
    <mergeCell ref="B95:D95"/>
    <mergeCell ref="B94:F94"/>
    <mergeCell ref="B34:F34"/>
    <mergeCell ref="B46:I46"/>
    <mergeCell ref="B72:F72"/>
    <mergeCell ref="B90:H90"/>
    <mergeCell ref="B91:G91"/>
    <mergeCell ref="B56:F56"/>
    <mergeCell ref="B57:F57"/>
    <mergeCell ref="B93:F93"/>
    <mergeCell ref="B74:D74"/>
    <mergeCell ref="B49:F49"/>
    <mergeCell ref="B59:F59"/>
    <mergeCell ref="B69:I69"/>
    <mergeCell ref="B50:F50"/>
    <mergeCell ref="B51:D51"/>
    <mergeCell ref="B1:H1"/>
    <mergeCell ref="B2:G2"/>
    <mergeCell ref="B4:F4"/>
    <mergeCell ref="B12:F12"/>
    <mergeCell ref="B26:G26"/>
    <mergeCell ref="B5:F5"/>
    <mergeCell ref="B6:D6"/>
    <mergeCell ref="B28:F28"/>
    <mergeCell ref="B8:F8"/>
    <mergeCell ref="B9:F10"/>
    <mergeCell ref="B11:F11"/>
    <mergeCell ref="B14:F14"/>
    <mergeCell ref="B15:F15"/>
    <mergeCell ref="J486:J487"/>
    <mergeCell ref="B124:F124"/>
    <mergeCell ref="B119:D119"/>
    <mergeCell ref="B47:G47"/>
    <mergeCell ref="B160:G160"/>
    <mergeCell ref="B162:F162"/>
    <mergeCell ref="B181:G181"/>
    <mergeCell ref="B167:F168"/>
    <mergeCell ref="B350:F350"/>
    <mergeCell ref="B229:F229"/>
    <mergeCell ref="B351:F352"/>
    <mergeCell ref="B389:G389"/>
    <mergeCell ref="B397:F398"/>
    <mergeCell ref="B391:F391"/>
    <mergeCell ref="B97:F97"/>
    <mergeCell ref="B275:F275"/>
    <mergeCell ref="B253:F253"/>
    <mergeCell ref="B297:F297"/>
    <mergeCell ref="B294:I294"/>
    <mergeCell ref="B303:F304"/>
    <mergeCell ref="B183:F183"/>
    <mergeCell ref="B271:I271"/>
    <mergeCell ref="B272:G272"/>
    <mergeCell ref="B308:F308"/>
    <mergeCell ref="B114:I114"/>
    <mergeCell ref="B226:I226"/>
    <mergeCell ref="C147:F147"/>
    <mergeCell ref="B163:F163"/>
    <mergeCell ref="B298:F298"/>
    <mergeCell ref="B274:F274"/>
    <mergeCell ref="B276:D276"/>
    <mergeCell ref="B278:F278"/>
    <mergeCell ref="B279:F280"/>
    <mergeCell ref="C281:F281"/>
    <mergeCell ref="B257:F257"/>
    <mergeCell ref="B115:G115"/>
    <mergeCell ref="B117:F117"/>
    <mergeCell ref="B135:I135"/>
    <mergeCell ref="B185:D185"/>
    <mergeCell ref="B251:G251"/>
    <mergeCell ref="B255:D255"/>
    <mergeCell ref="C260:F260"/>
    <mergeCell ref="B180:I180"/>
    <mergeCell ref="B250:I250"/>
    <mergeCell ref="B170:F170"/>
    <mergeCell ref="B234:F235"/>
    <mergeCell ref="B164:D164"/>
    <mergeCell ref="B159:H159"/>
    <mergeCell ref="B295:G295"/>
    <mergeCell ref="B310:F310"/>
    <mergeCell ref="B322:F322"/>
    <mergeCell ref="B254:F254"/>
    <mergeCell ref="B227:G227"/>
    <mergeCell ref="B376:F376"/>
    <mergeCell ref="B343:G343"/>
    <mergeCell ref="B347:D347"/>
    <mergeCell ref="B368:F368"/>
    <mergeCell ref="B319:G319"/>
    <mergeCell ref="B318:H318"/>
    <mergeCell ref="B345:F345"/>
    <mergeCell ref="B346:F346"/>
    <mergeCell ref="B365:H365"/>
    <mergeCell ref="B321:F321"/>
    <mergeCell ref="B370:D370"/>
    <mergeCell ref="B331:F331"/>
    <mergeCell ref="B354:F354"/>
    <mergeCell ref="B357:F357"/>
    <mergeCell ref="B342:H342"/>
    <mergeCell ref="B329:D329"/>
    <mergeCell ref="B299:D299"/>
    <mergeCell ref="B258:F259"/>
    <mergeCell ref="B388:I388"/>
    <mergeCell ref="B403:F403"/>
    <mergeCell ref="B396:F396"/>
    <mergeCell ref="B402:F402"/>
    <mergeCell ref="A436:I436"/>
    <mergeCell ref="B423:F423"/>
    <mergeCell ref="B448:F448"/>
    <mergeCell ref="B366:G366"/>
    <mergeCell ref="B326:F327"/>
  </mergeCells>
  <phoneticPr fontId="2" type="noConversion"/>
  <pageMargins left="0.5" right="0.25" top="0.5" bottom="0.5" header="0.5" footer="0.5"/>
  <pageSetup paperSize="9" scale="98" orientation="portrait" r:id="rId1"/>
  <headerFooter alignWithMargins="0"/>
  <rowBreaks count="11" manualBreakCount="11">
    <brk id="45" max="16383" man="1"/>
    <brk id="89" max="16383" man="1"/>
    <brk id="134" max="16383" man="1"/>
    <brk id="179" max="16383" man="1"/>
    <brk id="225" max="16383" man="1"/>
    <brk id="270" max="16383" man="1"/>
    <brk id="317" max="16383" man="1"/>
    <brk id="364" max="16383" man="1"/>
    <brk id="410" max="9" man="1"/>
    <brk id="456" max="9" man="1"/>
    <brk id="496" max="9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34"/>
  <sheetViews>
    <sheetView view="pageBreakPreview" topLeftCell="A7" zoomScaleSheetLayoutView="100" workbookViewId="0">
      <selection activeCell="A4" sqref="A1:XFD1048576"/>
    </sheetView>
  </sheetViews>
  <sheetFormatPr defaultColWidth="9.140625" defaultRowHeight="12.75"/>
  <cols>
    <col min="1" max="1" width="1.140625" style="3" customWidth="1"/>
    <col min="2" max="2" width="3.85546875" style="3" customWidth="1"/>
    <col min="3" max="3" width="9.42578125" style="3" customWidth="1"/>
    <col min="4" max="4" width="22.42578125" style="3" customWidth="1"/>
    <col min="5" max="5" width="9.28515625" style="3" customWidth="1"/>
    <col min="6" max="6" width="10.42578125" style="3" customWidth="1"/>
    <col min="7" max="7" width="12" style="3" customWidth="1"/>
    <col min="8" max="8" width="10.28515625" style="3" customWidth="1"/>
    <col min="9" max="9" width="8.42578125" style="3" customWidth="1"/>
    <col min="10" max="10" width="11.28515625" style="3" bestFit="1" customWidth="1"/>
    <col min="11" max="16384" width="9.140625" style="3"/>
  </cols>
  <sheetData>
    <row r="1" spans="1:13" ht="17.45" customHeight="1">
      <c r="A1" s="897" t="s">
        <v>18</v>
      </c>
      <c r="B1" s="897"/>
      <c r="C1" s="897"/>
      <c r="D1" s="897"/>
      <c r="E1" s="897"/>
      <c r="F1" s="897"/>
      <c r="G1" s="897"/>
      <c r="H1" s="897"/>
      <c r="I1" s="897"/>
      <c r="J1" s="897"/>
      <c r="K1" s="897"/>
    </row>
    <row r="2" spans="1:13" ht="15.75">
      <c r="A2" s="832" t="s">
        <v>87</v>
      </c>
      <c r="B2" s="832"/>
      <c r="C2" s="832"/>
      <c r="D2" s="832"/>
      <c r="E2" s="832"/>
      <c r="F2" s="832"/>
      <c r="G2" s="832"/>
      <c r="H2" s="832"/>
      <c r="I2" s="832"/>
      <c r="J2" s="832"/>
      <c r="K2" s="832"/>
    </row>
    <row r="3" spans="1:13" ht="15.75">
      <c r="A3" s="270"/>
      <c r="B3" s="270"/>
      <c r="C3" s="270"/>
      <c r="D3" s="270"/>
      <c r="E3" s="270"/>
      <c r="F3" s="270"/>
      <c r="G3" s="293"/>
      <c r="H3" s="270"/>
      <c r="I3" s="270"/>
      <c r="J3" s="270"/>
      <c r="K3" s="270"/>
    </row>
    <row r="4" spans="1:13" ht="15.75">
      <c r="A4" s="4"/>
      <c r="B4" s="833" t="s">
        <v>6</v>
      </c>
      <c r="C4" s="833"/>
      <c r="D4" s="5"/>
      <c r="E4" s="5"/>
      <c r="G4" s="268" t="s">
        <v>69</v>
      </c>
      <c r="H4" s="7">
        <v>43915</v>
      </c>
    </row>
    <row r="5" spans="1:13" ht="15.75">
      <c r="A5" s="4"/>
      <c r="B5" s="4"/>
      <c r="C5" s="4"/>
      <c r="D5" s="8"/>
      <c r="E5" s="8"/>
      <c r="F5" s="4"/>
      <c r="G5" s="4"/>
      <c r="H5" s="4"/>
    </row>
    <row r="6" spans="1:13" ht="15">
      <c r="B6" s="896" t="s">
        <v>237</v>
      </c>
      <c r="C6" s="896"/>
      <c r="D6" s="896"/>
      <c r="E6" s="896"/>
      <c r="F6" s="896"/>
      <c r="G6" s="896"/>
      <c r="H6" s="896"/>
      <c r="I6" s="896"/>
      <c r="J6" s="13"/>
      <c r="K6" s="13"/>
    </row>
    <row r="7" spans="1:13" ht="15">
      <c r="B7" s="14"/>
      <c r="C7" s="11"/>
      <c r="D7" s="11"/>
      <c r="E7" s="11"/>
      <c r="F7" s="11"/>
      <c r="G7" s="11"/>
      <c r="H7" s="11"/>
      <c r="I7" s="12"/>
      <c r="J7" s="13"/>
      <c r="K7" s="13"/>
    </row>
    <row r="8" spans="1:13" ht="70.150000000000006" customHeight="1">
      <c r="B8" s="15" t="s">
        <v>74</v>
      </c>
      <c r="C8" s="15" t="s">
        <v>86</v>
      </c>
      <c r="D8" s="267" t="s">
        <v>75</v>
      </c>
      <c r="E8" s="17" t="s">
        <v>19</v>
      </c>
      <c r="F8" s="18" t="s">
        <v>230</v>
      </c>
      <c r="G8" s="18" t="s">
        <v>238</v>
      </c>
      <c r="H8" s="18" t="s">
        <v>231</v>
      </c>
      <c r="I8" s="18" t="s">
        <v>232</v>
      </c>
      <c r="J8" s="269" t="s">
        <v>204</v>
      </c>
      <c r="K8" s="20"/>
      <c r="L8" s="13"/>
      <c r="M8" s="13"/>
    </row>
    <row r="9" spans="1:13" ht="30">
      <c r="B9" s="67">
        <v>1</v>
      </c>
      <c r="C9" s="22">
        <f>'Nov 2020'!C10</f>
        <v>2509</v>
      </c>
      <c r="D9" s="22" t="str">
        <f>'Nov 2020'!D10</f>
        <v>Shankar Kumar Bhoumik</v>
      </c>
      <c r="E9" s="22" t="str">
        <f>'Nov 2020'!E10</f>
        <v>AGM</v>
      </c>
      <c r="F9" s="294">
        <f>'Nov 2020'!G10</f>
        <v>56030</v>
      </c>
      <c r="G9" s="294">
        <f>ROUND(F9*0.2,0)</f>
        <v>11206</v>
      </c>
      <c r="H9" s="294">
        <v>10</v>
      </c>
      <c r="I9" s="99">
        <f>G9-H9</f>
        <v>11196</v>
      </c>
      <c r="J9" s="294">
        <v>798</v>
      </c>
      <c r="K9" s="20"/>
      <c r="L9" s="13"/>
      <c r="M9" s="13"/>
    </row>
    <row r="10" spans="1:13" ht="19.5" customHeight="1">
      <c r="B10" s="21">
        <f>B9+1</f>
        <v>2</v>
      </c>
      <c r="C10" s="22">
        <f>'Nov 2020'!C11</f>
        <v>2357</v>
      </c>
      <c r="D10" s="22" t="str">
        <f>'Nov 2020'!D11</f>
        <v>Md Nuruzzaman</v>
      </c>
      <c r="E10" s="22" t="str">
        <f>'Nov 2020'!E11</f>
        <v>SPO</v>
      </c>
      <c r="F10" s="294">
        <f>'Nov 2020'!G11</f>
        <v>43170</v>
      </c>
      <c r="G10" s="294">
        <f t="shared" ref="G10:G20" si="0">ROUND(F10*0.2,0)</f>
        <v>8634</v>
      </c>
      <c r="H10" s="294">
        <v>10</v>
      </c>
      <c r="I10" s="99">
        <f t="shared" ref="I10:I20" si="1">G10-H10</f>
        <v>8624</v>
      </c>
      <c r="J10" s="249">
        <v>728</v>
      </c>
      <c r="K10" s="20"/>
      <c r="L10" s="13"/>
      <c r="M10" s="13"/>
    </row>
    <row r="11" spans="1:13" ht="19.5" customHeight="1">
      <c r="B11" s="21">
        <f t="shared" ref="B11:B20" si="2">B10+1</f>
        <v>3</v>
      </c>
      <c r="C11" s="22">
        <f>'Nov 2020'!C12</f>
        <v>2385</v>
      </c>
      <c r="D11" s="22" t="str">
        <f>'Nov 2020'!D12</f>
        <v>Md Zinnatul Alam</v>
      </c>
      <c r="E11" s="22" t="str">
        <f>'Nov 2020'!E12</f>
        <v>PO</v>
      </c>
      <c r="F11" s="294">
        <f>'Nov 2020'!G12</f>
        <v>41110</v>
      </c>
      <c r="G11" s="294">
        <f t="shared" si="0"/>
        <v>8222</v>
      </c>
      <c r="H11" s="294">
        <v>10</v>
      </c>
      <c r="I11" s="99">
        <f t="shared" si="1"/>
        <v>8212</v>
      </c>
      <c r="J11" s="249">
        <v>1010</v>
      </c>
      <c r="K11" s="20"/>
      <c r="L11" s="13"/>
      <c r="M11" s="13"/>
    </row>
    <row r="12" spans="1:13" ht="19.5" customHeight="1">
      <c r="B12" s="21">
        <f t="shared" si="2"/>
        <v>4</v>
      </c>
      <c r="C12" s="22">
        <f>'Nov 2020'!C13</f>
        <v>1821</v>
      </c>
      <c r="D12" s="22" t="str">
        <f>'Nov 2020'!D13</f>
        <v>Md Ashraful Islam</v>
      </c>
      <c r="E12" s="22" t="str">
        <f>'Nov 2020'!E13</f>
        <v>PO</v>
      </c>
      <c r="F12" s="294">
        <f>'Nov 2020'!G13</f>
        <v>41110</v>
      </c>
      <c r="G12" s="294">
        <f t="shared" si="0"/>
        <v>8222</v>
      </c>
      <c r="H12" s="294">
        <v>10</v>
      </c>
      <c r="I12" s="99">
        <f t="shared" si="1"/>
        <v>8212</v>
      </c>
      <c r="J12" s="249">
        <v>919</v>
      </c>
      <c r="K12" s="20"/>
      <c r="L12" s="13"/>
      <c r="M12" s="13"/>
    </row>
    <row r="13" spans="1:13" ht="21" customHeight="1">
      <c r="B13" s="21">
        <f t="shared" si="2"/>
        <v>5</v>
      </c>
      <c r="C13" s="22">
        <f>'Nov 2020'!C14</f>
        <v>1958</v>
      </c>
      <c r="D13" s="22" t="str">
        <f>'Nov 2020'!D14</f>
        <v>Md Hamidur Rahman Beg</v>
      </c>
      <c r="E13" s="22" t="str">
        <f>'Nov 2020'!E14</f>
        <v>SO</v>
      </c>
      <c r="F13" s="294">
        <f>'Nov 2020'!G14</f>
        <v>37280</v>
      </c>
      <c r="G13" s="294">
        <f t="shared" si="0"/>
        <v>7456</v>
      </c>
      <c r="H13" s="294">
        <v>10</v>
      </c>
      <c r="I13" s="99">
        <f t="shared" si="1"/>
        <v>7446</v>
      </c>
      <c r="J13" s="249">
        <v>927</v>
      </c>
    </row>
    <row r="14" spans="1:13" ht="18.75" customHeight="1">
      <c r="B14" s="21">
        <f t="shared" si="2"/>
        <v>6</v>
      </c>
      <c r="C14" s="22">
        <f>'Nov 2020'!C15</f>
        <v>2645</v>
      </c>
      <c r="D14" s="22" t="str">
        <f>'Nov 2020'!D15</f>
        <v>Mst. Ishrat Jahan Aysha</v>
      </c>
      <c r="E14" s="22" t="str">
        <f>'Nov 2020'!E15</f>
        <v>SO</v>
      </c>
      <c r="F14" s="294">
        <f>'Nov 2020'!G15</f>
        <v>24260</v>
      </c>
      <c r="G14" s="294">
        <f t="shared" si="0"/>
        <v>4852</v>
      </c>
      <c r="H14" s="294">
        <v>10</v>
      </c>
      <c r="I14" s="99">
        <f t="shared" si="1"/>
        <v>4842</v>
      </c>
      <c r="J14" s="249">
        <v>931</v>
      </c>
    </row>
    <row r="15" spans="1:13" ht="18.75" customHeight="1">
      <c r="B15" s="21">
        <f t="shared" si="2"/>
        <v>7</v>
      </c>
      <c r="C15" s="22">
        <f>'Nov 2020'!C16</f>
        <v>1811</v>
      </c>
      <c r="D15" s="22" t="str">
        <f>'Nov 2020'!D16</f>
        <v>Khadiza Begum</v>
      </c>
      <c r="E15" s="22" t="str">
        <f>'Nov 2020'!E16</f>
        <v>SO</v>
      </c>
      <c r="F15" s="294">
        <f>'Nov 2020'!G16</f>
        <v>20440</v>
      </c>
      <c r="G15" s="294">
        <f t="shared" si="0"/>
        <v>4088</v>
      </c>
      <c r="H15" s="294">
        <v>10</v>
      </c>
      <c r="I15" s="99">
        <f t="shared" si="1"/>
        <v>4078</v>
      </c>
      <c r="J15" s="249">
        <v>174</v>
      </c>
    </row>
    <row r="16" spans="1:13" ht="18.75" customHeight="1">
      <c r="B16" s="21">
        <f t="shared" si="2"/>
        <v>8</v>
      </c>
      <c r="C16" s="22">
        <f>'Nov 2020'!C18</f>
        <v>2698</v>
      </c>
      <c r="D16" s="22" t="str">
        <f>'Nov 2020'!D18</f>
        <v>Nazmus Sakib</v>
      </c>
      <c r="E16" s="22" t="str">
        <f>'Nov 2020'!E18</f>
        <v>Officer</v>
      </c>
      <c r="F16" s="294">
        <f>'Nov 2020'!G18</f>
        <v>16800</v>
      </c>
      <c r="G16" s="294">
        <f t="shared" si="0"/>
        <v>3360</v>
      </c>
      <c r="H16" s="294">
        <v>10</v>
      </c>
      <c r="I16" s="99">
        <f t="shared" si="1"/>
        <v>3350</v>
      </c>
      <c r="J16" s="249">
        <v>1022</v>
      </c>
    </row>
    <row r="17" spans="2:10" ht="18.75" customHeight="1">
      <c r="B17" s="21">
        <f t="shared" si="2"/>
        <v>9</v>
      </c>
      <c r="C17" s="22" t="e">
        <f>'Nov 2020'!#REF!</f>
        <v>#REF!</v>
      </c>
      <c r="D17" s="22" t="e">
        <f>'Nov 2020'!#REF!</f>
        <v>#REF!</v>
      </c>
      <c r="E17" s="22" t="e">
        <f>'Nov 2020'!#REF!</f>
        <v>#REF!</v>
      </c>
      <c r="F17" s="294" t="e">
        <f>'Nov 2020'!#REF!</f>
        <v>#REF!</v>
      </c>
      <c r="G17" s="294" t="e">
        <f t="shared" si="0"/>
        <v>#REF!</v>
      </c>
      <c r="H17" s="294">
        <v>10</v>
      </c>
      <c r="I17" s="99" t="e">
        <f t="shared" si="1"/>
        <v>#REF!</v>
      </c>
      <c r="J17" s="249">
        <v>1032</v>
      </c>
    </row>
    <row r="18" spans="2:10" ht="18.75" customHeight="1">
      <c r="B18" s="21">
        <f t="shared" si="2"/>
        <v>10</v>
      </c>
      <c r="C18" s="22">
        <f>'Nov 2020'!C21</f>
        <v>1952</v>
      </c>
      <c r="D18" s="22" t="str">
        <f>'Nov 2020'!D21</f>
        <v>Md. Abul Kashem Miah</v>
      </c>
      <c r="E18" s="23" t="str">
        <f>'Nov 2020'!E21</f>
        <v>SSG-1</v>
      </c>
      <c r="F18" s="294">
        <f>'Nov 2020'!G21</f>
        <v>19320</v>
      </c>
      <c r="G18" s="294">
        <f t="shared" si="0"/>
        <v>3864</v>
      </c>
      <c r="H18" s="294">
        <v>10</v>
      </c>
      <c r="I18" s="99">
        <f t="shared" si="1"/>
        <v>3854</v>
      </c>
      <c r="J18" s="249">
        <v>215</v>
      </c>
    </row>
    <row r="19" spans="2:10" ht="18.75" customHeight="1">
      <c r="B19" s="21">
        <f t="shared" si="2"/>
        <v>11</v>
      </c>
      <c r="C19" s="22">
        <f>'Nov 2020'!C23</f>
        <v>1863</v>
      </c>
      <c r="D19" s="22" t="str">
        <f>'Nov 2020'!D23</f>
        <v>Md.Shahabuddin</v>
      </c>
      <c r="E19" s="23" t="str">
        <f>'Nov 2020'!E23</f>
        <v>SSG-2</v>
      </c>
      <c r="F19" s="294">
        <f>'Nov 2020'!G23</f>
        <v>19310</v>
      </c>
      <c r="G19" s="294">
        <f t="shared" si="0"/>
        <v>3862</v>
      </c>
      <c r="H19" s="294">
        <v>10</v>
      </c>
      <c r="I19" s="99">
        <f t="shared" si="1"/>
        <v>3852</v>
      </c>
      <c r="J19" s="249">
        <v>214</v>
      </c>
    </row>
    <row r="20" spans="2:10" ht="20.25" customHeight="1">
      <c r="B20" s="21">
        <f t="shared" si="2"/>
        <v>12</v>
      </c>
      <c r="C20" s="22">
        <f>'Nov 2020'!C24</f>
        <v>1892</v>
      </c>
      <c r="D20" s="22" t="str">
        <f>'Nov 2020'!D24</f>
        <v xml:space="preserve">Md. Salim Miah </v>
      </c>
      <c r="E20" s="23" t="str">
        <f>'Nov 2020'!E24</f>
        <v>SSG-2</v>
      </c>
      <c r="F20" s="294">
        <f>'Nov 2020'!G24</f>
        <v>19310</v>
      </c>
      <c r="G20" s="294">
        <f t="shared" si="0"/>
        <v>3862</v>
      </c>
      <c r="H20" s="294">
        <v>10</v>
      </c>
      <c r="I20" s="99">
        <f t="shared" si="1"/>
        <v>3852</v>
      </c>
      <c r="J20" s="249">
        <v>334</v>
      </c>
    </row>
    <row r="21" spans="2:10" ht="19.5" customHeight="1">
      <c r="B21" s="830" t="s">
        <v>20</v>
      </c>
      <c r="C21" s="830"/>
      <c r="D21" s="830"/>
      <c r="E21" s="266"/>
      <c r="F21" s="100" t="e">
        <f>SUM(F9:F20)</f>
        <v>#REF!</v>
      </c>
      <c r="G21" s="100" t="e">
        <f t="shared" ref="G21:I21" si="3">SUM(G9:G20)</f>
        <v>#REF!</v>
      </c>
      <c r="H21" s="100">
        <f t="shared" si="3"/>
        <v>120</v>
      </c>
      <c r="I21" s="100" t="e">
        <f t="shared" si="3"/>
        <v>#REF!</v>
      </c>
      <c r="J21" s="29"/>
    </row>
    <row r="22" spans="2:10">
      <c r="B22" s="33"/>
      <c r="C22" s="34"/>
      <c r="D22" s="33"/>
      <c r="E22" s="33"/>
      <c r="F22" s="33"/>
      <c r="G22" s="33"/>
      <c r="H22" s="38"/>
    </row>
    <row r="23" spans="2:10">
      <c r="B23" s="33"/>
      <c r="C23" s="34"/>
      <c r="D23" s="33"/>
      <c r="E23" s="33"/>
      <c r="F23" s="33"/>
      <c r="G23" s="33"/>
      <c r="H23" s="38"/>
    </row>
    <row r="24" spans="2:10">
      <c r="B24" s="33"/>
      <c r="C24" s="34"/>
      <c r="D24" s="33"/>
      <c r="E24" s="33"/>
      <c r="F24" s="33"/>
      <c r="G24" s="33"/>
      <c r="H24" s="38"/>
    </row>
    <row r="25" spans="2:10">
      <c r="B25" s="33"/>
      <c r="C25" s="34"/>
      <c r="D25" s="33"/>
      <c r="E25" s="33"/>
      <c r="F25" s="33"/>
      <c r="G25" s="33"/>
      <c r="H25" s="38"/>
    </row>
    <row r="26" spans="2:10">
      <c r="B26" s="33"/>
      <c r="C26" s="34"/>
      <c r="D26" s="33"/>
      <c r="E26" s="33"/>
      <c r="F26" s="33"/>
      <c r="G26" s="33"/>
      <c r="H26" s="38"/>
    </row>
    <row r="27" spans="2:10">
      <c r="B27" s="33"/>
      <c r="C27" s="34"/>
      <c r="D27" s="33"/>
      <c r="E27" s="33"/>
      <c r="F27" s="33"/>
      <c r="G27" s="33"/>
      <c r="H27" s="38"/>
    </row>
    <row r="28" spans="2:10">
      <c r="B28" s="33"/>
      <c r="C28" s="34"/>
      <c r="D28" s="33"/>
      <c r="E28" s="33"/>
      <c r="F28" s="33"/>
      <c r="G28" s="33"/>
      <c r="H28" s="38"/>
    </row>
    <row r="29" spans="2:10">
      <c r="H29" s="38"/>
    </row>
    <row r="30" spans="2:10" ht="15.75">
      <c r="B30" s="40" t="s">
        <v>229</v>
      </c>
      <c r="C30" s="40"/>
      <c r="D30" s="4"/>
      <c r="E30" s="40" t="s">
        <v>236</v>
      </c>
      <c r="F30" s="4"/>
      <c r="G30" s="4"/>
      <c r="H30" s="40"/>
      <c r="I30" s="40" t="s">
        <v>205</v>
      </c>
    </row>
    <row r="31" spans="2:10" ht="15.75">
      <c r="B31" s="40"/>
      <c r="C31" s="40"/>
      <c r="D31" s="4"/>
      <c r="E31" s="40"/>
      <c r="F31" s="4"/>
      <c r="G31" s="4"/>
      <c r="H31" s="40"/>
      <c r="I31" s="4"/>
    </row>
    <row r="32" spans="2:10" ht="15.75">
      <c r="B32" s="40"/>
      <c r="C32" s="40"/>
      <c r="D32" s="4"/>
      <c r="E32" s="40"/>
      <c r="F32" s="4"/>
      <c r="G32" s="4"/>
      <c r="H32" s="40"/>
      <c r="I32" s="4"/>
    </row>
    <row r="33" spans="2:9" ht="15.75">
      <c r="B33" s="40"/>
      <c r="C33" s="40"/>
      <c r="D33" s="4"/>
      <c r="E33" s="40"/>
      <c r="F33" s="4"/>
      <c r="G33" s="4"/>
      <c r="H33" s="40"/>
      <c r="I33" s="4"/>
    </row>
    <row r="34" spans="2:9" ht="15.75">
      <c r="B34" s="40"/>
      <c r="C34" s="40"/>
      <c r="D34" s="4"/>
      <c r="E34" s="40"/>
      <c r="F34" s="4"/>
      <c r="G34" s="4"/>
      <c r="H34" s="40"/>
      <c r="I34" s="4"/>
    </row>
  </sheetData>
  <mergeCells count="5">
    <mergeCell ref="B6:I6"/>
    <mergeCell ref="B4:C4"/>
    <mergeCell ref="B21:D21"/>
    <mergeCell ref="A1:K1"/>
    <mergeCell ref="A2:K2"/>
  </mergeCells>
  <pageMargins left="0.7" right="0.7" top="0.75" bottom="0.75" header="0.3" footer="0.3"/>
  <pageSetup scale="89" orientation="portrait" r:id="rId1"/>
  <rowBreaks count="1" manualBreakCount="1">
    <brk id="33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B050"/>
  </sheetPr>
  <dimension ref="A1:M20"/>
  <sheetViews>
    <sheetView topLeftCell="A4" zoomScale="140" zoomScaleNormal="140" workbookViewId="0">
      <selection activeCell="B10" sqref="B10"/>
    </sheetView>
  </sheetViews>
  <sheetFormatPr defaultColWidth="9.140625" defaultRowHeight="12.75"/>
  <cols>
    <col min="1" max="1" width="4.28515625" style="386" customWidth="1"/>
    <col min="2" max="2" width="19.85546875" style="386" customWidth="1"/>
    <col min="3" max="3" width="10.28515625" style="386" customWidth="1"/>
    <col min="4" max="4" width="10.5703125" style="386" customWidth="1"/>
    <col min="5" max="5" width="8.42578125" style="386" customWidth="1"/>
    <col min="6" max="6" width="7.140625" style="386" customWidth="1"/>
    <col min="7" max="7" width="9.5703125" style="386" customWidth="1"/>
    <col min="8" max="9" width="15.140625" style="386" customWidth="1"/>
    <col min="10" max="10" width="13.42578125" style="386" customWidth="1"/>
    <col min="11" max="11" width="10" style="386" customWidth="1"/>
    <col min="12" max="12" width="13.85546875" style="386" bestFit="1" customWidth="1"/>
    <col min="13" max="13" width="15" style="386" bestFit="1" customWidth="1"/>
    <col min="14" max="14" width="11.5703125" style="386" bestFit="1" customWidth="1"/>
    <col min="15" max="256" width="9.140625" style="386"/>
    <col min="257" max="257" width="4.28515625" style="386" customWidth="1"/>
    <col min="258" max="258" width="19.85546875" style="386" customWidth="1"/>
    <col min="259" max="259" width="10.28515625" style="386" customWidth="1"/>
    <col min="260" max="260" width="10.5703125" style="386" customWidth="1"/>
    <col min="261" max="261" width="8.42578125" style="386" customWidth="1"/>
    <col min="262" max="262" width="7.140625" style="386" customWidth="1"/>
    <col min="263" max="263" width="9.5703125" style="386" customWidth="1"/>
    <col min="264" max="265" width="15.140625" style="386" customWidth="1"/>
    <col min="266" max="266" width="13.42578125" style="386" customWidth="1"/>
    <col min="267" max="267" width="10" style="386" customWidth="1"/>
    <col min="268" max="268" width="13.85546875" style="386" bestFit="1" customWidth="1"/>
    <col min="269" max="269" width="15" style="386" bestFit="1" customWidth="1"/>
    <col min="270" max="270" width="11.5703125" style="386" bestFit="1" customWidth="1"/>
    <col min="271" max="512" width="9.140625" style="386"/>
    <col min="513" max="513" width="4.28515625" style="386" customWidth="1"/>
    <col min="514" max="514" width="19.85546875" style="386" customWidth="1"/>
    <col min="515" max="515" width="10.28515625" style="386" customWidth="1"/>
    <col min="516" max="516" width="10.5703125" style="386" customWidth="1"/>
    <col min="517" max="517" width="8.42578125" style="386" customWidth="1"/>
    <col min="518" max="518" width="7.140625" style="386" customWidth="1"/>
    <col min="519" max="519" width="9.5703125" style="386" customWidth="1"/>
    <col min="520" max="521" width="15.140625" style="386" customWidth="1"/>
    <col min="522" max="522" width="13.42578125" style="386" customWidth="1"/>
    <col min="523" max="523" width="10" style="386" customWidth="1"/>
    <col min="524" max="524" width="13.85546875" style="386" bestFit="1" customWidth="1"/>
    <col min="525" max="525" width="15" style="386" bestFit="1" customWidth="1"/>
    <col min="526" max="526" width="11.5703125" style="386" bestFit="1" customWidth="1"/>
    <col min="527" max="768" width="9.140625" style="386"/>
    <col min="769" max="769" width="4.28515625" style="386" customWidth="1"/>
    <col min="770" max="770" width="19.85546875" style="386" customWidth="1"/>
    <col min="771" max="771" width="10.28515625" style="386" customWidth="1"/>
    <col min="772" max="772" width="10.5703125" style="386" customWidth="1"/>
    <col min="773" max="773" width="8.42578125" style="386" customWidth="1"/>
    <col min="774" max="774" width="7.140625" style="386" customWidth="1"/>
    <col min="775" max="775" width="9.5703125" style="386" customWidth="1"/>
    <col min="776" max="777" width="15.140625" style="386" customWidth="1"/>
    <col min="778" max="778" width="13.42578125" style="386" customWidth="1"/>
    <col min="779" max="779" width="10" style="386" customWidth="1"/>
    <col min="780" max="780" width="13.85546875" style="386" bestFit="1" customWidth="1"/>
    <col min="781" max="781" width="15" style="386" bestFit="1" customWidth="1"/>
    <col min="782" max="782" width="11.5703125" style="386" bestFit="1" customWidth="1"/>
    <col min="783" max="1024" width="9.140625" style="386"/>
    <col min="1025" max="1025" width="4.28515625" style="386" customWidth="1"/>
    <col min="1026" max="1026" width="19.85546875" style="386" customWidth="1"/>
    <col min="1027" max="1027" width="10.28515625" style="386" customWidth="1"/>
    <col min="1028" max="1028" width="10.5703125" style="386" customWidth="1"/>
    <col min="1029" max="1029" width="8.42578125" style="386" customWidth="1"/>
    <col min="1030" max="1030" width="7.140625" style="386" customWidth="1"/>
    <col min="1031" max="1031" width="9.5703125" style="386" customWidth="1"/>
    <col min="1032" max="1033" width="15.140625" style="386" customWidth="1"/>
    <col min="1034" max="1034" width="13.42578125" style="386" customWidth="1"/>
    <col min="1035" max="1035" width="10" style="386" customWidth="1"/>
    <col min="1036" max="1036" width="13.85546875" style="386" bestFit="1" customWidth="1"/>
    <col min="1037" max="1037" width="15" style="386" bestFit="1" customWidth="1"/>
    <col min="1038" max="1038" width="11.5703125" style="386" bestFit="1" customWidth="1"/>
    <col min="1039" max="1280" width="9.140625" style="386"/>
    <col min="1281" max="1281" width="4.28515625" style="386" customWidth="1"/>
    <col min="1282" max="1282" width="19.85546875" style="386" customWidth="1"/>
    <col min="1283" max="1283" width="10.28515625" style="386" customWidth="1"/>
    <col min="1284" max="1284" width="10.5703125" style="386" customWidth="1"/>
    <col min="1285" max="1285" width="8.42578125" style="386" customWidth="1"/>
    <col min="1286" max="1286" width="7.140625" style="386" customWidth="1"/>
    <col min="1287" max="1287" width="9.5703125" style="386" customWidth="1"/>
    <col min="1288" max="1289" width="15.140625" style="386" customWidth="1"/>
    <col min="1290" max="1290" width="13.42578125" style="386" customWidth="1"/>
    <col min="1291" max="1291" width="10" style="386" customWidth="1"/>
    <col min="1292" max="1292" width="13.85546875" style="386" bestFit="1" customWidth="1"/>
    <col min="1293" max="1293" width="15" style="386" bestFit="1" customWidth="1"/>
    <col min="1294" max="1294" width="11.5703125" style="386" bestFit="1" customWidth="1"/>
    <col min="1295" max="1536" width="9.140625" style="386"/>
    <col min="1537" max="1537" width="4.28515625" style="386" customWidth="1"/>
    <col min="1538" max="1538" width="19.85546875" style="386" customWidth="1"/>
    <col min="1539" max="1539" width="10.28515625" style="386" customWidth="1"/>
    <col min="1540" max="1540" width="10.5703125" style="386" customWidth="1"/>
    <col min="1541" max="1541" width="8.42578125" style="386" customWidth="1"/>
    <col min="1542" max="1542" width="7.140625" style="386" customWidth="1"/>
    <col min="1543" max="1543" width="9.5703125" style="386" customWidth="1"/>
    <col min="1544" max="1545" width="15.140625" style="386" customWidth="1"/>
    <col min="1546" max="1546" width="13.42578125" style="386" customWidth="1"/>
    <col min="1547" max="1547" width="10" style="386" customWidth="1"/>
    <col min="1548" max="1548" width="13.85546875" style="386" bestFit="1" customWidth="1"/>
    <col min="1549" max="1549" width="15" style="386" bestFit="1" customWidth="1"/>
    <col min="1550" max="1550" width="11.5703125" style="386" bestFit="1" customWidth="1"/>
    <col min="1551" max="1792" width="9.140625" style="386"/>
    <col min="1793" max="1793" width="4.28515625" style="386" customWidth="1"/>
    <col min="1794" max="1794" width="19.85546875" style="386" customWidth="1"/>
    <col min="1795" max="1795" width="10.28515625" style="386" customWidth="1"/>
    <col min="1796" max="1796" width="10.5703125" style="386" customWidth="1"/>
    <col min="1797" max="1797" width="8.42578125" style="386" customWidth="1"/>
    <col min="1798" max="1798" width="7.140625" style="386" customWidth="1"/>
    <col min="1799" max="1799" width="9.5703125" style="386" customWidth="1"/>
    <col min="1800" max="1801" width="15.140625" style="386" customWidth="1"/>
    <col min="1802" max="1802" width="13.42578125" style="386" customWidth="1"/>
    <col min="1803" max="1803" width="10" style="386" customWidth="1"/>
    <col min="1804" max="1804" width="13.85546875" style="386" bestFit="1" customWidth="1"/>
    <col min="1805" max="1805" width="15" style="386" bestFit="1" customWidth="1"/>
    <col min="1806" max="1806" width="11.5703125" style="386" bestFit="1" customWidth="1"/>
    <col min="1807" max="2048" width="9.140625" style="386"/>
    <col min="2049" max="2049" width="4.28515625" style="386" customWidth="1"/>
    <col min="2050" max="2050" width="19.85546875" style="386" customWidth="1"/>
    <col min="2051" max="2051" width="10.28515625" style="386" customWidth="1"/>
    <col min="2052" max="2052" width="10.5703125" style="386" customWidth="1"/>
    <col min="2053" max="2053" width="8.42578125" style="386" customWidth="1"/>
    <col min="2054" max="2054" width="7.140625" style="386" customWidth="1"/>
    <col min="2055" max="2055" width="9.5703125" style="386" customWidth="1"/>
    <col min="2056" max="2057" width="15.140625" style="386" customWidth="1"/>
    <col min="2058" max="2058" width="13.42578125" style="386" customWidth="1"/>
    <col min="2059" max="2059" width="10" style="386" customWidth="1"/>
    <col min="2060" max="2060" width="13.85546875" style="386" bestFit="1" customWidth="1"/>
    <col min="2061" max="2061" width="15" style="386" bestFit="1" customWidth="1"/>
    <col min="2062" max="2062" width="11.5703125" style="386" bestFit="1" customWidth="1"/>
    <col min="2063" max="2304" width="9.140625" style="386"/>
    <col min="2305" max="2305" width="4.28515625" style="386" customWidth="1"/>
    <col min="2306" max="2306" width="19.85546875" style="386" customWidth="1"/>
    <col min="2307" max="2307" width="10.28515625" style="386" customWidth="1"/>
    <col min="2308" max="2308" width="10.5703125" style="386" customWidth="1"/>
    <col min="2309" max="2309" width="8.42578125" style="386" customWidth="1"/>
    <col min="2310" max="2310" width="7.140625" style="386" customWidth="1"/>
    <col min="2311" max="2311" width="9.5703125" style="386" customWidth="1"/>
    <col min="2312" max="2313" width="15.140625" style="386" customWidth="1"/>
    <col min="2314" max="2314" width="13.42578125" style="386" customWidth="1"/>
    <col min="2315" max="2315" width="10" style="386" customWidth="1"/>
    <col min="2316" max="2316" width="13.85546875" style="386" bestFit="1" customWidth="1"/>
    <col min="2317" max="2317" width="15" style="386" bestFit="1" customWidth="1"/>
    <col min="2318" max="2318" width="11.5703125" style="386" bestFit="1" customWidth="1"/>
    <col min="2319" max="2560" width="9.140625" style="386"/>
    <col min="2561" max="2561" width="4.28515625" style="386" customWidth="1"/>
    <col min="2562" max="2562" width="19.85546875" style="386" customWidth="1"/>
    <col min="2563" max="2563" width="10.28515625" style="386" customWidth="1"/>
    <col min="2564" max="2564" width="10.5703125" style="386" customWidth="1"/>
    <col min="2565" max="2565" width="8.42578125" style="386" customWidth="1"/>
    <col min="2566" max="2566" width="7.140625" style="386" customWidth="1"/>
    <col min="2567" max="2567" width="9.5703125" style="386" customWidth="1"/>
    <col min="2568" max="2569" width="15.140625" style="386" customWidth="1"/>
    <col min="2570" max="2570" width="13.42578125" style="386" customWidth="1"/>
    <col min="2571" max="2571" width="10" style="386" customWidth="1"/>
    <col min="2572" max="2572" width="13.85546875" style="386" bestFit="1" customWidth="1"/>
    <col min="2573" max="2573" width="15" style="386" bestFit="1" customWidth="1"/>
    <col min="2574" max="2574" width="11.5703125" style="386" bestFit="1" customWidth="1"/>
    <col min="2575" max="2816" width="9.140625" style="386"/>
    <col min="2817" max="2817" width="4.28515625" style="386" customWidth="1"/>
    <col min="2818" max="2818" width="19.85546875" style="386" customWidth="1"/>
    <col min="2819" max="2819" width="10.28515625" style="386" customWidth="1"/>
    <col min="2820" max="2820" width="10.5703125" style="386" customWidth="1"/>
    <col min="2821" max="2821" width="8.42578125" style="386" customWidth="1"/>
    <col min="2822" max="2822" width="7.140625" style="386" customWidth="1"/>
    <col min="2823" max="2823" width="9.5703125" style="386" customWidth="1"/>
    <col min="2824" max="2825" width="15.140625" style="386" customWidth="1"/>
    <col min="2826" max="2826" width="13.42578125" style="386" customWidth="1"/>
    <col min="2827" max="2827" width="10" style="386" customWidth="1"/>
    <col min="2828" max="2828" width="13.85546875" style="386" bestFit="1" customWidth="1"/>
    <col min="2829" max="2829" width="15" style="386" bestFit="1" customWidth="1"/>
    <col min="2830" max="2830" width="11.5703125" style="386" bestFit="1" customWidth="1"/>
    <col min="2831" max="3072" width="9.140625" style="386"/>
    <col min="3073" max="3073" width="4.28515625" style="386" customWidth="1"/>
    <col min="3074" max="3074" width="19.85546875" style="386" customWidth="1"/>
    <col min="3075" max="3075" width="10.28515625" style="386" customWidth="1"/>
    <col min="3076" max="3076" width="10.5703125" style="386" customWidth="1"/>
    <col min="3077" max="3077" width="8.42578125" style="386" customWidth="1"/>
    <col min="3078" max="3078" width="7.140625" style="386" customWidth="1"/>
    <col min="3079" max="3079" width="9.5703125" style="386" customWidth="1"/>
    <col min="3080" max="3081" width="15.140625" style="386" customWidth="1"/>
    <col min="3082" max="3082" width="13.42578125" style="386" customWidth="1"/>
    <col min="3083" max="3083" width="10" style="386" customWidth="1"/>
    <col min="3084" max="3084" width="13.85546875" style="386" bestFit="1" customWidth="1"/>
    <col min="3085" max="3085" width="15" style="386" bestFit="1" customWidth="1"/>
    <col min="3086" max="3086" width="11.5703125" style="386" bestFit="1" customWidth="1"/>
    <col min="3087" max="3328" width="9.140625" style="386"/>
    <col min="3329" max="3329" width="4.28515625" style="386" customWidth="1"/>
    <col min="3330" max="3330" width="19.85546875" style="386" customWidth="1"/>
    <col min="3331" max="3331" width="10.28515625" style="386" customWidth="1"/>
    <col min="3332" max="3332" width="10.5703125" style="386" customWidth="1"/>
    <col min="3333" max="3333" width="8.42578125" style="386" customWidth="1"/>
    <col min="3334" max="3334" width="7.140625" style="386" customWidth="1"/>
    <col min="3335" max="3335" width="9.5703125" style="386" customWidth="1"/>
    <col min="3336" max="3337" width="15.140625" style="386" customWidth="1"/>
    <col min="3338" max="3338" width="13.42578125" style="386" customWidth="1"/>
    <col min="3339" max="3339" width="10" style="386" customWidth="1"/>
    <col min="3340" max="3340" width="13.85546875" style="386" bestFit="1" customWidth="1"/>
    <col min="3341" max="3341" width="15" style="386" bestFit="1" customWidth="1"/>
    <col min="3342" max="3342" width="11.5703125" style="386" bestFit="1" customWidth="1"/>
    <col min="3343" max="3584" width="9.140625" style="386"/>
    <col min="3585" max="3585" width="4.28515625" style="386" customWidth="1"/>
    <col min="3586" max="3586" width="19.85546875" style="386" customWidth="1"/>
    <col min="3587" max="3587" width="10.28515625" style="386" customWidth="1"/>
    <col min="3588" max="3588" width="10.5703125" style="386" customWidth="1"/>
    <col min="3589" max="3589" width="8.42578125" style="386" customWidth="1"/>
    <col min="3590" max="3590" width="7.140625" style="386" customWidth="1"/>
    <col min="3591" max="3591" width="9.5703125" style="386" customWidth="1"/>
    <col min="3592" max="3593" width="15.140625" style="386" customWidth="1"/>
    <col min="3594" max="3594" width="13.42578125" style="386" customWidth="1"/>
    <col min="3595" max="3595" width="10" style="386" customWidth="1"/>
    <col min="3596" max="3596" width="13.85546875" style="386" bestFit="1" customWidth="1"/>
    <col min="3597" max="3597" width="15" style="386" bestFit="1" customWidth="1"/>
    <col min="3598" max="3598" width="11.5703125" style="386" bestFit="1" customWidth="1"/>
    <col min="3599" max="3840" width="9.140625" style="386"/>
    <col min="3841" max="3841" width="4.28515625" style="386" customWidth="1"/>
    <col min="3842" max="3842" width="19.85546875" style="386" customWidth="1"/>
    <col min="3843" max="3843" width="10.28515625" style="386" customWidth="1"/>
    <col min="3844" max="3844" width="10.5703125" style="386" customWidth="1"/>
    <col min="3845" max="3845" width="8.42578125" style="386" customWidth="1"/>
    <col min="3846" max="3846" width="7.140625" style="386" customWidth="1"/>
    <col min="3847" max="3847" width="9.5703125" style="386" customWidth="1"/>
    <col min="3848" max="3849" width="15.140625" style="386" customWidth="1"/>
    <col min="3850" max="3850" width="13.42578125" style="386" customWidth="1"/>
    <col min="3851" max="3851" width="10" style="386" customWidth="1"/>
    <col min="3852" max="3852" width="13.85546875" style="386" bestFit="1" customWidth="1"/>
    <col min="3853" max="3853" width="15" style="386" bestFit="1" customWidth="1"/>
    <col min="3854" max="3854" width="11.5703125" style="386" bestFit="1" customWidth="1"/>
    <col min="3855" max="4096" width="9.140625" style="386"/>
    <col min="4097" max="4097" width="4.28515625" style="386" customWidth="1"/>
    <col min="4098" max="4098" width="19.85546875" style="386" customWidth="1"/>
    <col min="4099" max="4099" width="10.28515625" style="386" customWidth="1"/>
    <col min="4100" max="4100" width="10.5703125" style="386" customWidth="1"/>
    <col min="4101" max="4101" width="8.42578125" style="386" customWidth="1"/>
    <col min="4102" max="4102" width="7.140625" style="386" customWidth="1"/>
    <col min="4103" max="4103" width="9.5703125" style="386" customWidth="1"/>
    <col min="4104" max="4105" width="15.140625" style="386" customWidth="1"/>
    <col min="4106" max="4106" width="13.42578125" style="386" customWidth="1"/>
    <col min="4107" max="4107" width="10" style="386" customWidth="1"/>
    <col min="4108" max="4108" width="13.85546875" style="386" bestFit="1" customWidth="1"/>
    <col min="4109" max="4109" width="15" style="386" bestFit="1" customWidth="1"/>
    <col min="4110" max="4110" width="11.5703125" style="386" bestFit="1" customWidth="1"/>
    <col min="4111" max="4352" width="9.140625" style="386"/>
    <col min="4353" max="4353" width="4.28515625" style="386" customWidth="1"/>
    <col min="4354" max="4354" width="19.85546875" style="386" customWidth="1"/>
    <col min="4355" max="4355" width="10.28515625" style="386" customWidth="1"/>
    <col min="4356" max="4356" width="10.5703125" style="386" customWidth="1"/>
    <col min="4357" max="4357" width="8.42578125" style="386" customWidth="1"/>
    <col min="4358" max="4358" width="7.140625" style="386" customWidth="1"/>
    <col min="4359" max="4359" width="9.5703125" style="386" customWidth="1"/>
    <col min="4360" max="4361" width="15.140625" style="386" customWidth="1"/>
    <col min="4362" max="4362" width="13.42578125" style="386" customWidth="1"/>
    <col min="4363" max="4363" width="10" style="386" customWidth="1"/>
    <col min="4364" max="4364" width="13.85546875" style="386" bestFit="1" customWidth="1"/>
    <col min="4365" max="4365" width="15" style="386" bestFit="1" customWidth="1"/>
    <col min="4366" max="4366" width="11.5703125" style="386" bestFit="1" customWidth="1"/>
    <col min="4367" max="4608" width="9.140625" style="386"/>
    <col min="4609" max="4609" width="4.28515625" style="386" customWidth="1"/>
    <col min="4610" max="4610" width="19.85546875" style="386" customWidth="1"/>
    <col min="4611" max="4611" width="10.28515625" style="386" customWidth="1"/>
    <col min="4612" max="4612" width="10.5703125" style="386" customWidth="1"/>
    <col min="4613" max="4613" width="8.42578125" style="386" customWidth="1"/>
    <col min="4614" max="4614" width="7.140625" style="386" customWidth="1"/>
    <col min="4615" max="4615" width="9.5703125" style="386" customWidth="1"/>
    <col min="4616" max="4617" width="15.140625" style="386" customWidth="1"/>
    <col min="4618" max="4618" width="13.42578125" style="386" customWidth="1"/>
    <col min="4619" max="4619" width="10" style="386" customWidth="1"/>
    <col min="4620" max="4620" width="13.85546875" style="386" bestFit="1" customWidth="1"/>
    <col min="4621" max="4621" width="15" style="386" bestFit="1" customWidth="1"/>
    <col min="4622" max="4622" width="11.5703125" style="386" bestFit="1" customWidth="1"/>
    <col min="4623" max="4864" width="9.140625" style="386"/>
    <col min="4865" max="4865" width="4.28515625" style="386" customWidth="1"/>
    <col min="4866" max="4866" width="19.85546875" style="386" customWidth="1"/>
    <col min="4867" max="4867" width="10.28515625" style="386" customWidth="1"/>
    <col min="4868" max="4868" width="10.5703125" style="386" customWidth="1"/>
    <col min="4869" max="4869" width="8.42578125" style="386" customWidth="1"/>
    <col min="4870" max="4870" width="7.140625" style="386" customWidth="1"/>
    <col min="4871" max="4871" width="9.5703125" style="386" customWidth="1"/>
    <col min="4872" max="4873" width="15.140625" style="386" customWidth="1"/>
    <col min="4874" max="4874" width="13.42578125" style="386" customWidth="1"/>
    <col min="4875" max="4875" width="10" style="386" customWidth="1"/>
    <col min="4876" max="4876" width="13.85546875" style="386" bestFit="1" customWidth="1"/>
    <col min="4877" max="4877" width="15" style="386" bestFit="1" customWidth="1"/>
    <col min="4878" max="4878" width="11.5703125" style="386" bestFit="1" customWidth="1"/>
    <col min="4879" max="5120" width="9.140625" style="386"/>
    <col min="5121" max="5121" width="4.28515625" style="386" customWidth="1"/>
    <col min="5122" max="5122" width="19.85546875" style="386" customWidth="1"/>
    <col min="5123" max="5123" width="10.28515625" style="386" customWidth="1"/>
    <col min="5124" max="5124" width="10.5703125" style="386" customWidth="1"/>
    <col min="5125" max="5125" width="8.42578125" style="386" customWidth="1"/>
    <col min="5126" max="5126" width="7.140625" style="386" customWidth="1"/>
    <col min="5127" max="5127" width="9.5703125" style="386" customWidth="1"/>
    <col min="5128" max="5129" width="15.140625" style="386" customWidth="1"/>
    <col min="5130" max="5130" width="13.42578125" style="386" customWidth="1"/>
    <col min="5131" max="5131" width="10" style="386" customWidth="1"/>
    <col min="5132" max="5132" width="13.85546875" style="386" bestFit="1" customWidth="1"/>
    <col min="5133" max="5133" width="15" style="386" bestFit="1" customWidth="1"/>
    <col min="5134" max="5134" width="11.5703125" style="386" bestFit="1" customWidth="1"/>
    <col min="5135" max="5376" width="9.140625" style="386"/>
    <col min="5377" max="5377" width="4.28515625" style="386" customWidth="1"/>
    <col min="5378" max="5378" width="19.85546875" style="386" customWidth="1"/>
    <col min="5379" max="5379" width="10.28515625" style="386" customWidth="1"/>
    <col min="5380" max="5380" width="10.5703125" style="386" customWidth="1"/>
    <col min="5381" max="5381" width="8.42578125" style="386" customWidth="1"/>
    <col min="5382" max="5382" width="7.140625" style="386" customWidth="1"/>
    <col min="5383" max="5383" width="9.5703125" style="386" customWidth="1"/>
    <col min="5384" max="5385" width="15.140625" style="386" customWidth="1"/>
    <col min="5386" max="5386" width="13.42578125" style="386" customWidth="1"/>
    <col min="5387" max="5387" width="10" style="386" customWidth="1"/>
    <col min="5388" max="5388" width="13.85546875" style="386" bestFit="1" customWidth="1"/>
    <col min="5389" max="5389" width="15" style="386" bestFit="1" customWidth="1"/>
    <col min="5390" max="5390" width="11.5703125" style="386" bestFit="1" customWidth="1"/>
    <col min="5391" max="5632" width="9.140625" style="386"/>
    <col min="5633" max="5633" width="4.28515625" style="386" customWidth="1"/>
    <col min="5634" max="5634" width="19.85546875" style="386" customWidth="1"/>
    <col min="5635" max="5635" width="10.28515625" style="386" customWidth="1"/>
    <col min="5636" max="5636" width="10.5703125" style="386" customWidth="1"/>
    <col min="5637" max="5637" width="8.42578125" style="386" customWidth="1"/>
    <col min="5638" max="5638" width="7.140625" style="386" customWidth="1"/>
    <col min="5639" max="5639" width="9.5703125" style="386" customWidth="1"/>
    <col min="5640" max="5641" width="15.140625" style="386" customWidth="1"/>
    <col min="5642" max="5642" width="13.42578125" style="386" customWidth="1"/>
    <col min="5643" max="5643" width="10" style="386" customWidth="1"/>
    <col min="5644" max="5644" width="13.85546875" style="386" bestFit="1" customWidth="1"/>
    <col min="5645" max="5645" width="15" style="386" bestFit="1" customWidth="1"/>
    <col min="5646" max="5646" width="11.5703125" style="386" bestFit="1" customWidth="1"/>
    <col min="5647" max="5888" width="9.140625" style="386"/>
    <col min="5889" max="5889" width="4.28515625" style="386" customWidth="1"/>
    <col min="5890" max="5890" width="19.85546875" style="386" customWidth="1"/>
    <col min="5891" max="5891" width="10.28515625" style="386" customWidth="1"/>
    <col min="5892" max="5892" width="10.5703125" style="386" customWidth="1"/>
    <col min="5893" max="5893" width="8.42578125" style="386" customWidth="1"/>
    <col min="5894" max="5894" width="7.140625" style="386" customWidth="1"/>
    <col min="5895" max="5895" width="9.5703125" style="386" customWidth="1"/>
    <col min="5896" max="5897" width="15.140625" style="386" customWidth="1"/>
    <col min="5898" max="5898" width="13.42578125" style="386" customWidth="1"/>
    <col min="5899" max="5899" width="10" style="386" customWidth="1"/>
    <col min="5900" max="5900" width="13.85546875" style="386" bestFit="1" customWidth="1"/>
    <col min="5901" max="5901" width="15" style="386" bestFit="1" customWidth="1"/>
    <col min="5902" max="5902" width="11.5703125" style="386" bestFit="1" customWidth="1"/>
    <col min="5903" max="6144" width="9.140625" style="386"/>
    <col min="6145" max="6145" width="4.28515625" style="386" customWidth="1"/>
    <col min="6146" max="6146" width="19.85546875" style="386" customWidth="1"/>
    <col min="6147" max="6147" width="10.28515625" style="386" customWidth="1"/>
    <col min="6148" max="6148" width="10.5703125" style="386" customWidth="1"/>
    <col min="6149" max="6149" width="8.42578125" style="386" customWidth="1"/>
    <col min="6150" max="6150" width="7.140625" style="386" customWidth="1"/>
    <col min="6151" max="6151" width="9.5703125" style="386" customWidth="1"/>
    <col min="6152" max="6153" width="15.140625" style="386" customWidth="1"/>
    <col min="6154" max="6154" width="13.42578125" style="386" customWidth="1"/>
    <col min="6155" max="6155" width="10" style="386" customWidth="1"/>
    <col min="6156" max="6156" width="13.85546875" style="386" bestFit="1" customWidth="1"/>
    <col min="6157" max="6157" width="15" style="386" bestFit="1" customWidth="1"/>
    <col min="6158" max="6158" width="11.5703125" style="386" bestFit="1" customWidth="1"/>
    <col min="6159" max="6400" width="9.140625" style="386"/>
    <col min="6401" max="6401" width="4.28515625" style="386" customWidth="1"/>
    <col min="6402" max="6402" width="19.85546875" style="386" customWidth="1"/>
    <col min="6403" max="6403" width="10.28515625" style="386" customWidth="1"/>
    <col min="6404" max="6404" width="10.5703125" style="386" customWidth="1"/>
    <col min="6405" max="6405" width="8.42578125" style="386" customWidth="1"/>
    <col min="6406" max="6406" width="7.140625" style="386" customWidth="1"/>
    <col min="6407" max="6407" width="9.5703125" style="386" customWidth="1"/>
    <col min="6408" max="6409" width="15.140625" style="386" customWidth="1"/>
    <col min="6410" max="6410" width="13.42578125" style="386" customWidth="1"/>
    <col min="6411" max="6411" width="10" style="386" customWidth="1"/>
    <col min="6412" max="6412" width="13.85546875" style="386" bestFit="1" customWidth="1"/>
    <col min="6413" max="6413" width="15" style="386" bestFit="1" customWidth="1"/>
    <col min="6414" max="6414" width="11.5703125" style="386" bestFit="1" customWidth="1"/>
    <col min="6415" max="6656" width="9.140625" style="386"/>
    <col min="6657" max="6657" width="4.28515625" style="386" customWidth="1"/>
    <col min="6658" max="6658" width="19.85546875" style="386" customWidth="1"/>
    <col min="6659" max="6659" width="10.28515625" style="386" customWidth="1"/>
    <col min="6660" max="6660" width="10.5703125" style="386" customWidth="1"/>
    <col min="6661" max="6661" width="8.42578125" style="386" customWidth="1"/>
    <col min="6662" max="6662" width="7.140625" style="386" customWidth="1"/>
    <col min="6663" max="6663" width="9.5703125" style="386" customWidth="1"/>
    <col min="6664" max="6665" width="15.140625" style="386" customWidth="1"/>
    <col min="6666" max="6666" width="13.42578125" style="386" customWidth="1"/>
    <col min="6667" max="6667" width="10" style="386" customWidth="1"/>
    <col min="6668" max="6668" width="13.85546875" style="386" bestFit="1" customWidth="1"/>
    <col min="6669" max="6669" width="15" style="386" bestFit="1" customWidth="1"/>
    <col min="6670" max="6670" width="11.5703125" style="386" bestFit="1" customWidth="1"/>
    <col min="6671" max="6912" width="9.140625" style="386"/>
    <col min="6913" max="6913" width="4.28515625" style="386" customWidth="1"/>
    <col min="6914" max="6914" width="19.85546875" style="386" customWidth="1"/>
    <col min="6915" max="6915" width="10.28515625" style="386" customWidth="1"/>
    <col min="6916" max="6916" width="10.5703125" style="386" customWidth="1"/>
    <col min="6917" max="6917" width="8.42578125" style="386" customWidth="1"/>
    <col min="6918" max="6918" width="7.140625" style="386" customWidth="1"/>
    <col min="6919" max="6919" width="9.5703125" style="386" customWidth="1"/>
    <col min="6920" max="6921" width="15.140625" style="386" customWidth="1"/>
    <col min="6922" max="6922" width="13.42578125" style="386" customWidth="1"/>
    <col min="6923" max="6923" width="10" style="386" customWidth="1"/>
    <col min="6924" max="6924" width="13.85546875" style="386" bestFit="1" customWidth="1"/>
    <col min="6925" max="6925" width="15" style="386" bestFit="1" customWidth="1"/>
    <col min="6926" max="6926" width="11.5703125" style="386" bestFit="1" customWidth="1"/>
    <col min="6927" max="7168" width="9.140625" style="386"/>
    <col min="7169" max="7169" width="4.28515625" style="386" customWidth="1"/>
    <col min="7170" max="7170" width="19.85546875" style="386" customWidth="1"/>
    <col min="7171" max="7171" width="10.28515625" style="386" customWidth="1"/>
    <col min="7172" max="7172" width="10.5703125" style="386" customWidth="1"/>
    <col min="7173" max="7173" width="8.42578125" style="386" customWidth="1"/>
    <col min="7174" max="7174" width="7.140625" style="386" customWidth="1"/>
    <col min="7175" max="7175" width="9.5703125" style="386" customWidth="1"/>
    <col min="7176" max="7177" width="15.140625" style="386" customWidth="1"/>
    <col min="7178" max="7178" width="13.42578125" style="386" customWidth="1"/>
    <col min="7179" max="7179" width="10" style="386" customWidth="1"/>
    <col min="7180" max="7180" width="13.85546875" style="386" bestFit="1" customWidth="1"/>
    <col min="7181" max="7181" width="15" style="386" bestFit="1" customWidth="1"/>
    <col min="7182" max="7182" width="11.5703125" style="386" bestFit="1" customWidth="1"/>
    <col min="7183" max="7424" width="9.140625" style="386"/>
    <col min="7425" max="7425" width="4.28515625" style="386" customWidth="1"/>
    <col min="7426" max="7426" width="19.85546875" style="386" customWidth="1"/>
    <col min="7427" max="7427" width="10.28515625" style="386" customWidth="1"/>
    <col min="7428" max="7428" width="10.5703125" style="386" customWidth="1"/>
    <col min="7429" max="7429" width="8.42578125" style="386" customWidth="1"/>
    <col min="7430" max="7430" width="7.140625" style="386" customWidth="1"/>
    <col min="7431" max="7431" width="9.5703125" style="386" customWidth="1"/>
    <col min="7432" max="7433" width="15.140625" style="386" customWidth="1"/>
    <col min="7434" max="7434" width="13.42578125" style="386" customWidth="1"/>
    <col min="7435" max="7435" width="10" style="386" customWidth="1"/>
    <col min="7436" max="7436" width="13.85546875" style="386" bestFit="1" customWidth="1"/>
    <col min="7437" max="7437" width="15" style="386" bestFit="1" customWidth="1"/>
    <col min="7438" max="7438" width="11.5703125" style="386" bestFit="1" customWidth="1"/>
    <col min="7439" max="7680" width="9.140625" style="386"/>
    <col min="7681" max="7681" width="4.28515625" style="386" customWidth="1"/>
    <col min="7682" max="7682" width="19.85546875" style="386" customWidth="1"/>
    <col min="7683" max="7683" width="10.28515625" style="386" customWidth="1"/>
    <col min="7684" max="7684" width="10.5703125" style="386" customWidth="1"/>
    <col min="7685" max="7685" width="8.42578125" style="386" customWidth="1"/>
    <col min="7686" max="7686" width="7.140625" style="386" customWidth="1"/>
    <col min="7687" max="7687" width="9.5703125" style="386" customWidth="1"/>
    <col min="7688" max="7689" width="15.140625" style="386" customWidth="1"/>
    <col min="7690" max="7690" width="13.42578125" style="386" customWidth="1"/>
    <col min="7691" max="7691" width="10" style="386" customWidth="1"/>
    <col min="7692" max="7692" width="13.85546875" style="386" bestFit="1" customWidth="1"/>
    <col min="7693" max="7693" width="15" style="386" bestFit="1" customWidth="1"/>
    <col min="7694" max="7694" width="11.5703125" style="386" bestFit="1" customWidth="1"/>
    <col min="7695" max="7936" width="9.140625" style="386"/>
    <col min="7937" max="7937" width="4.28515625" style="386" customWidth="1"/>
    <col min="7938" max="7938" width="19.85546875" style="386" customWidth="1"/>
    <col min="7939" max="7939" width="10.28515625" style="386" customWidth="1"/>
    <col min="7940" max="7940" width="10.5703125" style="386" customWidth="1"/>
    <col min="7941" max="7941" width="8.42578125" style="386" customWidth="1"/>
    <col min="7942" max="7942" width="7.140625" style="386" customWidth="1"/>
    <col min="7943" max="7943" width="9.5703125" style="386" customWidth="1"/>
    <col min="7944" max="7945" width="15.140625" style="386" customWidth="1"/>
    <col min="7946" max="7946" width="13.42578125" style="386" customWidth="1"/>
    <col min="7947" max="7947" width="10" style="386" customWidth="1"/>
    <col min="7948" max="7948" width="13.85546875" style="386" bestFit="1" customWidth="1"/>
    <col min="7949" max="7949" width="15" style="386" bestFit="1" customWidth="1"/>
    <col min="7950" max="7950" width="11.5703125" style="386" bestFit="1" customWidth="1"/>
    <col min="7951" max="8192" width="9.140625" style="386"/>
    <col min="8193" max="8193" width="4.28515625" style="386" customWidth="1"/>
    <col min="8194" max="8194" width="19.85546875" style="386" customWidth="1"/>
    <col min="8195" max="8195" width="10.28515625" style="386" customWidth="1"/>
    <col min="8196" max="8196" width="10.5703125" style="386" customWidth="1"/>
    <col min="8197" max="8197" width="8.42578125" style="386" customWidth="1"/>
    <col min="8198" max="8198" width="7.140625" style="386" customWidth="1"/>
    <col min="8199" max="8199" width="9.5703125" style="386" customWidth="1"/>
    <col min="8200" max="8201" width="15.140625" style="386" customWidth="1"/>
    <col min="8202" max="8202" width="13.42578125" style="386" customWidth="1"/>
    <col min="8203" max="8203" width="10" style="386" customWidth="1"/>
    <col min="8204" max="8204" width="13.85546875" style="386" bestFit="1" customWidth="1"/>
    <col min="8205" max="8205" width="15" style="386" bestFit="1" customWidth="1"/>
    <col min="8206" max="8206" width="11.5703125" style="386" bestFit="1" customWidth="1"/>
    <col min="8207" max="8448" width="9.140625" style="386"/>
    <col min="8449" max="8449" width="4.28515625" style="386" customWidth="1"/>
    <col min="8450" max="8450" width="19.85546875" style="386" customWidth="1"/>
    <col min="8451" max="8451" width="10.28515625" style="386" customWidth="1"/>
    <col min="8452" max="8452" width="10.5703125" style="386" customWidth="1"/>
    <col min="8453" max="8453" width="8.42578125" style="386" customWidth="1"/>
    <col min="8454" max="8454" width="7.140625" style="386" customWidth="1"/>
    <col min="8455" max="8455" width="9.5703125" style="386" customWidth="1"/>
    <col min="8456" max="8457" width="15.140625" style="386" customWidth="1"/>
    <col min="8458" max="8458" width="13.42578125" style="386" customWidth="1"/>
    <col min="8459" max="8459" width="10" style="386" customWidth="1"/>
    <col min="8460" max="8460" width="13.85546875" style="386" bestFit="1" customWidth="1"/>
    <col min="8461" max="8461" width="15" style="386" bestFit="1" customWidth="1"/>
    <col min="8462" max="8462" width="11.5703125" style="386" bestFit="1" customWidth="1"/>
    <col min="8463" max="8704" width="9.140625" style="386"/>
    <col min="8705" max="8705" width="4.28515625" style="386" customWidth="1"/>
    <col min="8706" max="8706" width="19.85546875" style="386" customWidth="1"/>
    <col min="8707" max="8707" width="10.28515625" style="386" customWidth="1"/>
    <col min="8708" max="8708" width="10.5703125" style="386" customWidth="1"/>
    <col min="8709" max="8709" width="8.42578125" style="386" customWidth="1"/>
    <col min="8710" max="8710" width="7.140625" style="386" customWidth="1"/>
    <col min="8711" max="8711" width="9.5703125" style="386" customWidth="1"/>
    <col min="8712" max="8713" width="15.140625" style="386" customWidth="1"/>
    <col min="8714" max="8714" width="13.42578125" style="386" customWidth="1"/>
    <col min="8715" max="8715" width="10" style="386" customWidth="1"/>
    <col min="8716" max="8716" width="13.85546875" style="386" bestFit="1" customWidth="1"/>
    <col min="8717" max="8717" width="15" style="386" bestFit="1" customWidth="1"/>
    <col min="8718" max="8718" width="11.5703125" style="386" bestFit="1" customWidth="1"/>
    <col min="8719" max="8960" width="9.140625" style="386"/>
    <col min="8961" max="8961" width="4.28515625" style="386" customWidth="1"/>
    <col min="8962" max="8962" width="19.85546875" style="386" customWidth="1"/>
    <col min="8963" max="8963" width="10.28515625" style="386" customWidth="1"/>
    <col min="8964" max="8964" width="10.5703125" style="386" customWidth="1"/>
    <col min="8965" max="8965" width="8.42578125" style="386" customWidth="1"/>
    <col min="8966" max="8966" width="7.140625" style="386" customWidth="1"/>
    <col min="8967" max="8967" width="9.5703125" style="386" customWidth="1"/>
    <col min="8968" max="8969" width="15.140625" style="386" customWidth="1"/>
    <col min="8970" max="8970" width="13.42578125" style="386" customWidth="1"/>
    <col min="8971" max="8971" width="10" style="386" customWidth="1"/>
    <col min="8972" max="8972" width="13.85546875" style="386" bestFit="1" customWidth="1"/>
    <col min="8973" max="8973" width="15" style="386" bestFit="1" customWidth="1"/>
    <col min="8974" max="8974" width="11.5703125" style="386" bestFit="1" customWidth="1"/>
    <col min="8975" max="9216" width="9.140625" style="386"/>
    <col min="9217" max="9217" width="4.28515625" style="386" customWidth="1"/>
    <col min="9218" max="9218" width="19.85546875" style="386" customWidth="1"/>
    <col min="9219" max="9219" width="10.28515625" style="386" customWidth="1"/>
    <col min="9220" max="9220" width="10.5703125" style="386" customWidth="1"/>
    <col min="9221" max="9221" width="8.42578125" style="386" customWidth="1"/>
    <col min="9222" max="9222" width="7.140625" style="386" customWidth="1"/>
    <col min="9223" max="9223" width="9.5703125" style="386" customWidth="1"/>
    <col min="9224" max="9225" width="15.140625" style="386" customWidth="1"/>
    <col min="9226" max="9226" width="13.42578125" style="386" customWidth="1"/>
    <col min="9227" max="9227" width="10" style="386" customWidth="1"/>
    <col min="9228" max="9228" width="13.85546875" style="386" bestFit="1" customWidth="1"/>
    <col min="9229" max="9229" width="15" style="386" bestFit="1" customWidth="1"/>
    <col min="9230" max="9230" width="11.5703125" style="386" bestFit="1" customWidth="1"/>
    <col min="9231" max="9472" width="9.140625" style="386"/>
    <col min="9473" max="9473" width="4.28515625" style="386" customWidth="1"/>
    <col min="9474" max="9474" width="19.85546875" style="386" customWidth="1"/>
    <col min="9475" max="9475" width="10.28515625" style="386" customWidth="1"/>
    <col min="9476" max="9476" width="10.5703125" style="386" customWidth="1"/>
    <col min="9477" max="9477" width="8.42578125" style="386" customWidth="1"/>
    <col min="9478" max="9478" width="7.140625" style="386" customWidth="1"/>
    <col min="9479" max="9479" width="9.5703125" style="386" customWidth="1"/>
    <col min="9480" max="9481" width="15.140625" style="386" customWidth="1"/>
    <col min="9482" max="9482" width="13.42578125" style="386" customWidth="1"/>
    <col min="9483" max="9483" width="10" style="386" customWidth="1"/>
    <col min="9484" max="9484" width="13.85546875" style="386" bestFit="1" customWidth="1"/>
    <col min="9485" max="9485" width="15" style="386" bestFit="1" customWidth="1"/>
    <col min="9486" max="9486" width="11.5703125" style="386" bestFit="1" customWidth="1"/>
    <col min="9487" max="9728" width="9.140625" style="386"/>
    <col min="9729" max="9729" width="4.28515625" style="386" customWidth="1"/>
    <col min="9730" max="9730" width="19.85546875" style="386" customWidth="1"/>
    <col min="9731" max="9731" width="10.28515625" style="386" customWidth="1"/>
    <col min="9732" max="9732" width="10.5703125" style="386" customWidth="1"/>
    <col min="9733" max="9733" width="8.42578125" style="386" customWidth="1"/>
    <col min="9734" max="9734" width="7.140625" style="386" customWidth="1"/>
    <col min="9735" max="9735" width="9.5703125" style="386" customWidth="1"/>
    <col min="9736" max="9737" width="15.140625" style="386" customWidth="1"/>
    <col min="9738" max="9738" width="13.42578125" style="386" customWidth="1"/>
    <col min="9739" max="9739" width="10" style="386" customWidth="1"/>
    <col min="9740" max="9740" width="13.85546875" style="386" bestFit="1" customWidth="1"/>
    <col min="9741" max="9741" width="15" style="386" bestFit="1" customWidth="1"/>
    <col min="9742" max="9742" width="11.5703125" style="386" bestFit="1" customWidth="1"/>
    <col min="9743" max="9984" width="9.140625" style="386"/>
    <col min="9985" max="9985" width="4.28515625" style="386" customWidth="1"/>
    <col min="9986" max="9986" width="19.85546875" style="386" customWidth="1"/>
    <col min="9987" max="9987" width="10.28515625" style="386" customWidth="1"/>
    <col min="9988" max="9988" width="10.5703125" style="386" customWidth="1"/>
    <col min="9989" max="9989" width="8.42578125" style="386" customWidth="1"/>
    <col min="9990" max="9990" width="7.140625" style="386" customWidth="1"/>
    <col min="9991" max="9991" width="9.5703125" style="386" customWidth="1"/>
    <col min="9992" max="9993" width="15.140625" style="386" customWidth="1"/>
    <col min="9994" max="9994" width="13.42578125" style="386" customWidth="1"/>
    <col min="9995" max="9995" width="10" style="386" customWidth="1"/>
    <col min="9996" max="9996" width="13.85546875" style="386" bestFit="1" customWidth="1"/>
    <col min="9997" max="9997" width="15" style="386" bestFit="1" customWidth="1"/>
    <col min="9998" max="9998" width="11.5703125" style="386" bestFit="1" customWidth="1"/>
    <col min="9999" max="10240" width="9.140625" style="386"/>
    <col min="10241" max="10241" width="4.28515625" style="386" customWidth="1"/>
    <col min="10242" max="10242" width="19.85546875" style="386" customWidth="1"/>
    <col min="10243" max="10243" width="10.28515625" style="386" customWidth="1"/>
    <col min="10244" max="10244" width="10.5703125" style="386" customWidth="1"/>
    <col min="10245" max="10245" width="8.42578125" style="386" customWidth="1"/>
    <col min="10246" max="10246" width="7.140625" style="386" customWidth="1"/>
    <col min="10247" max="10247" width="9.5703125" style="386" customWidth="1"/>
    <col min="10248" max="10249" width="15.140625" style="386" customWidth="1"/>
    <col min="10250" max="10250" width="13.42578125" style="386" customWidth="1"/>
    <col min="10251" max="10251" width="10" style="386" customWidth="1"/>
    <col min="10252" max="10252" width="13.85546875" style="386" bestFit="1" customWidth="1"/>
    <col min="10253" max="10253" width="15" style="386" bestFit="1" customWidth="1"/>
    <col min="10254" max="10254" width="11.5703125" style="386" bestFit="1" customWidth="1"/>
    <col min="10255" max="10496" width="9.140625" style="386"/>
    <col min="10497" max="10497" width="4.28515625" style="386" customWidth="1"/>
    <col min="10498" max="10498" width="19.85546875" style="386" customWidth="1"/>
    <col min="10499" max="10499" width="10.28515625" style="386" customWidth="1"/>
    <col min="10500" max="10500" width="10.5703125" style="386" customWidth="1"/>
    <col min="10501" max="10501" width="8.42578125" style="386" customWidth="1"/>
    <col min="10502" max="10502" width="7.140625" style="386" customWidth="1"/>
    <col min="10503" max="10503" width="9.5703125" style="386" customWidth="1"/>
    <col min="10504" max="10505" width="15.140625" style="386" customWidth="1"/>
    <col min="10506" max="10506" width="13.42578125" style="386" customWidth="1"/>
    <col min="10507" max="10507" width="10" style="386" customWidth="1"/>
    <col min="10508" max="10508" width="13.85546875" style="386" bestFit="1" customWidth="1"/>
    <col min="10509" max="10509" width="15" style="386" bestFit="1" customWidth="1"/>
    <col min="10510" max="10510" width="11.5703125" style="386" bestFit="1" customWidth="1"/>
    <col min="10511" max="10752" width="9.140625" style="386"/>
    <col min="10753" max="10753" width="4.28515625" style="386" customWidth="1"/>
    <col min="10754" max="10754" width="19.85546875" style="386" customWidth="1"/>
    <col min="10755" max="10755" width="10.28515625" style="386" customWidth="1"/>
    <col min="10756" max="10756" width="10.5703125" style="386" customWidth="1"/>
    <col min="10757" max="10757" width="8.42578125" style="386" customWidth="1"/>
    <col min="10758" max="10758" width="7.140625" style="386" customWidth="1"/>
    <col min="10759" max="10759" width="9.5703125" style="386" customWidth="1"/>
    <col min="10760" max="10761" width="15.140625" style="386" customWidth="1"/>
    <col min="10762" max="10762" width="13.42578125" style="386" customWidth="1"/>
    <col min="10763" max="10763" width="10" style="386" customWidth="1"/>
    <col min="10764" max="10764" width="13.85546875" style="386" bestFit="1" customWidth="1"/>
    <col min="10765" max="10765" width="15" style="386" bestFit="1" customWidth="1"/>
    <col min="10766" max="10766" width="11.5703125" style="386" bestFit="1" customWidth="1"/>
    <col min="10767" max="11008" width="9.140625" style="386"/>
    <col min="11009" max="11009" width="4.28515625" style="386" customWidth="1"/>
    <col min="11010" max="11010" width="19.85546875" style="386" customWidth="1"/>
    <col min="11011" max="11011" width="10.28515625" style="386" customWidth="1"/>
    <col min="11012" max="11012" width="10.5703125" style="386" customWidth="1"/>
    <col min="11013" max="11013" width="8.42578125" style="386" customWidth="1"/>
    <col min="11014" max="11014" width="7.140625" style="386" customWidth="1"/>
    <col min="11015" max="11015" width="9.5703125" style="386" customWidth="1"/>
    <col min="11016" max="11017" width="15.140625" style="386" customWidth="1"/>
    <col min="11018" max="11018" width="13.42578125" style="386" customWidth="1"/>
    <col min="11019" max="11019" width="10" style="386" customWidth="1"/>
    <col min="11020" max="11020" width="13.85546875" style="386" bestFit="1" customWidth="1"/>
    <col min="11021" max="11021" width="15" style="386" bestFit="1" customWidth="1"/>
    <col min="11022" max="11022" width="11.5703125" style="386" bestFit="1" customWidth="1"/>
    <col min="11023" max="11264" width="9.140625" style="386"/>
    <col min="11265" max="11265" width="4.28515625" style="386" customWidth="1"/>
    <col min="11266" max="11266" width="19.85546875" style="386" customWidth="1"/>
    <col min="11267" max="11267" width="10.28515625" style="386" customWidth="1"/>
    <col min="11268" max="11268" width="10.5703125" style="386" customWidth="1"/>
    <col min="11269" max="11269" width="8.42578125" style="386" customWidth="1"/>
    <col min="11270" max="11270" width="7.140625" style="386" customWidth="1"/>
    <col min="11271" max="11271" width="9.5703125" style="386" customWidth="1"/>
    <col min="11272" max="11273" width="15.140625" style="386" customWidth="1"/>
    <col min="11274" max="11274" width="13.42578125" style="386" customWidth="1"/>
    <col min="11275" max="11275" width="10" style="386" customWidth="1"/>
    <col min="11276" max="11276" width="13.85546875" style="386" bestFit="1" customWidth="1"/>
    <col min="11277" max="11277" width="15" style="386" bestFit="1" customWidth="1"/>
    <col min="11278" max="11278" width="11.5703125" style="386" bestFit="1" customWidth="1"/>
    <col min="11279" max="11520" width="9.140625" style="386"/>
    <col min="11521" max="11521" width="4.28515625" style="386" customWidth="1"/>
    <col min="11522" max="11522" width="19.85546875" style="386" customWidth="1"/>
    <col min="11523" max="11523" width="10.28515625" style="386" customWidth="1"/>
    <col min="11524" max="11524" width="10.5703125" style="386" customWidth="1"/>
    <col min="11525" max="11525" width="8.42578125" style="386" customWidth="1"/>
    <col min="11526" max="11526" width="7.140625" style="386" customWidth="1"/>
    <col min="11527" max="11527" width="9.5703125" style="386" customWidth="1"/>
    <col min="11528" max="11529" width="15.140625" style="386" customWidth="1"/>
    <col min="11530" max="11530" width="13.42578125" style="386" customWidth="1"/>
    <col min="11531" max="11531" width="10" style="386" customWidth="1"/>
    <col min="11532" max="11532" width="13.85546875" style="386" bestFit="1" customWidth="1"/>
    <col min="11533" max="11533" width="15" style="386" bestFit="1" customWidth="1"/>
    <col min="11534" max="11534" width="11.5703125" style="386" bestFit="1" customWidth="1"/>
    <col min="11535" max="11776" width="9.140625" style="386"/>
    <col min="11777" max="11777" width="4.28515625" style="386" customWidth="1"/>
    <col min="11778" max="11778" width="19.85546875" style="386" customWidth="1"/>
    <col min="11779" max="11779" width="10.28515625" style="386" customWidth="1"/>
    <col min="11780" max="11780" width="10.5703125" style="386" customWidth="1"/>
    <col min="11781" max="11781" width="8.42578125" style="386" customWidth="1"/>
    <col min="11782" max="11782" width="7.140625" style="386" customWidth="1"/>
    <col min="11783" max="11783" width="9.5703125" style="386" customWidth="1"/>
    <col min="11784" max="11785" width="15.140625" style="386" customWidth="1"/>
    <col min="11786" max="11786" width="13.42578125" style="386" customWidth="1"/>
    <col min="11787" max="11787" width="10" style="386" customWidth="1"/>
    <col min="11788" max="11788" width="13.85546875" style="386" bestFit="1" customWidth="1"/>
    <col min="11789" max="11789" width="15" style="386" bestFit="1" customWidth="1"/>
    <col min="11790" max="11790" width="11.5703125" style="386" bestFit="1" customWidth="1"/>
    <col min="11791" max="12032" width="9.140625" style="386"/>
    <col min="12033" max="12033" width="4.28515625" style="386" customWidth="1"/>
    <col min="12034" max="12034" width="19.85546875" style="386" customWidth="1"/>
    <col min="12035" max="12035" width="10.28515625" style="386" customWidth="1"/>
    <col min="12036" max="12036" width="10.5703125" style="386" customWidth="1"/>
    <col min="12037" max="12037" width="8.42578125" style="386" customWidth="1"/>
    <col min="12038" max="12038" width="7.140625" style="386" customWidth="1"/>
    <col min="12039" max="12039" width="9.5703125" style="386" customWidth="1"/>
    <col min="12040" max="12041" width="15.140625" style="386" customWidth="1"/>
    <col min="12042" max="12042" width="13.42578125" style="386" customWidth="1"/>
    <col min="12043" max="12043" width="10" style="386" customWidth="1"/>
    <col min="12044" max="12044" width="13.85546875" style="386" bestFit="1" customWidth="1"/>
    <col min="12045" max="12045" width="15" style="386" bestFit="1" customWidth="1"/>
    <col min="12046" max="12046" width="11.5703125" style="386" bestFit="1" customWidth="1"/>
    <col min="12047" max="12288" width="9.140625" style="386"/>
    <col min="12289" max="12289" width="4.28515625" style="386" customWidth="1"/>
    <col min="12290" max="12290" width="19.85546875" style="386" customWidth="1"/>
    <col min="12291" max="12291" width="10.28515625" style="386" customWidth="1"/>
    <col min="12292" max="12292" width="10.5703125" style="386" customWidth="1"/>
    <col min="12293" max="12293" width="8.42578125" style="386" customWidth="1"/>
    <col min="12294" max="12294" width="7.140625" style="386" customWidth="1"/>
    <col min="12295" max="12295" width="9.5703125" style="386" customWidth="1"/>
    <col min="12296" max="12297" width="15.140625" style="386" customWidth="1"/>
    <col min="12298" max="12298" width="13.42578125" style="386" customWidth="1"/>
    <col min="12299" max="12299" width="10" style="386" customWidth="1"/>
    <col min="12300" max="12300" width="13.85546875" style="386" bestFit="1" customWidth="1"/>
    <col min="12301" max="12301" width="15" style="386" bestFit="1" customWidth="1"/>
    <col min="12302" max="12302" width="11.5703125" style="386" bestFit="1" customWidth="1"/>
    <col min="12303" max="12544" width="9.140625" style="386"/>
    <col min="12545" max="12545" width="4.28515625" style="386" customWidth="1"/>
    <col min="12546" max="12546" width="19.85546875" style="386" customWidth="1"/>
    <col min="12547" max="12547" width="10.28515625" style="386" customWidth="1"/>
    <col min="12548" max="12548" width="10.5703125" style="386" customWidth="1"/>
    <col min="12549" max="12549" width="8.42578125" style="386" customWidth="1"/>
    <col min="12550" max="12550" width="7.140625" style="386" customWidth="1"/>
    <col min="12551" max="12551" width="9.5703125" style="386" customWidth="1"/>
    <col min="12552" max="12553" width="15.140625" style="386" customWidth="1"/>
    <col min="12554" max="12554" width="13.42578125" style="386" customWidth="1"/>
    <col min="12555" max="12555" width="10" style="386" customWidth="1"/>
    <col min="12556" max="12556" width="13.85546875" style="386" bestFit="1" customWidth="1"/>
    <col min="12557" max="12557" width="15" style="386" bestFit="1" customWidth="1"/>
    <col min="12558" max="12558" width="11.5703125" style="386" bestFit="1" customWidth="1"/>
    <col min="12559" max="12800" width="9.140625" style="386"/>
    <col min="12801" max="12801" width="4.28515625" style="386" customWidth="1"/>
    <col min="12802" max="12802" width="19.85546875" style="386" customWidth="1"/>
    <col min="12803" max="12803" width="10.28515625" style="386" customWidth="1"/>
    <col min="12804" max="12804" width="10.5703125" style="386" customWidth="1"/>
    <col min="12805" max="12805" width="8.42578125" style="386" customWidth="1"/>
    <col min="12806" max="12806" width="7.140625" style="386" customWidth="1"/>
    <col min="12807" max="12807" width="9.5703125" style="386" customWidth="1"/>
    <col min="12808" max="12809" width="15.140625" style="386" customWidth="1"/>
    <col min="12810" max="12810" width="13.42578125" style="386" customWidth="1"/>
    <col min="12811" max="12811" width="10" style="386" customWidth="1"/>
    <col min="12812" max="12812" width="13.85546875" style="386" bestFit="1" customWidth="1"/>
    <col min="12813" max="12813" width="15" style="386" bestFit="1" customWidth="1"/>
    <col min="12814" max="12814" width="11.5703125" style="386" bestFit="1" customWidth="1"/>
    <col min="12815" max="13056" width="9.140625" style="386"/>
    <col min="13057" max="13057" width="4.28515625" style="386" customWidth="1"/>
    <col min="13058" max="13058" width="19.85546875" style="386" customWidth="1"/>
    <col min="13059" max="13059" width="10.28515625" style="386" customWidth="1"/>
    <col min="13060" max="13060" width="10.5703125" style="386" customWidth="1"/>
    <col min="13061" max="13061" width="8.42578125" style="386" customWidth="1"/>
    <col min="13062" max="13062" width="7.140625" style="386" customWidth="1"/>
    <col min="13063" max="13063" width="9.5703125" style="386" customWidth="1"/>
    <col min="13064" max="13065" width="15.140625" style="386" customWidth="1"/>
    <col min="13066" max="13066" width="13.42578125" style="386" customWidth="1"/>
    <col min="13067" max="13067" width="10" style="386" customWidth="1"/>
    <col min="13068" max="13068" width="13.85546875" style="386" bestFit="1" customWidth="1"/>
    <col min="13069" max="13069" width="15" style="386" bestFit="1" customWidth="1"/>
    <col min="13070" max="13070" width="11.5703125" style="386" bestFit="1" customWidth="1"/>
    <col min="13071" max="13312" width="9.140625" style="386"/>
    <col min="13313" max="13313" width="4.28515625" style="386" customWidth="1"/>
    <col min="13314" max="13314" width="19.85546875" style="386" customWidth="1"/>
    <col min="13315" max="13315" width="10.28515625" style="386" customWidth="1"/>
    <col min="13316" max="13316" width="10.5703125" style="386" customWidth="1"/>
    <col min="13317" max="13317" width="8.42578125" style="386" customWidth="1"/>
    <col min="13318" max="13318" width="7.140625" style="386" customWidth="1"/>
    <col min="13319" max="13319" width="9.5703125" style="386" customWidth="1"/>
    <col min="13320" max="13321" width="15.140625" style="386" customWidth="1"/>
    <col min="13322" max="13322" width="13.42578125" style="386" customWidth="1"/>
    <col min="13323" max="13323" width="10" style="386" customWidth="1"/>
    <col min="13324" max="13324" width="13.85546875" style="386" bestFit="1" customWidth="1"/>
    <col min="13325" max="13325" width="15" style="386" bestFit="1" customWidth="1"/>
    <col min="13326" max="13326" width="11.5703125" style="386" bestFit="1" customWidth="1"/>
    <col min="13327" max="13568" width="9.140625" style="386"/>
    <col min="13569" max="13569" width="4.28515625" style="386" customWidth="1"/>
    <col min="13570" max="13570" width="19.85546875" style="386" customWidth="1"/>
    <col min="13571" max="13571" width="10.28515625" style="386" customWidth="1"/>
    <col min="13572" max="13572" width="10.5703125" style="386" customWidth="1"/>
    <col min="13573" max="13573" width="8.42578125" style="386" customWidth="1"/>
    <col min="13574" max="13574" width="7.140625" style="386" customWidth="1"/>
    <col min="13575" max="13575" width="9.5703125" style="386" customWidth="1"/>
    <col min="13576" max="13577" width="15.140625" style="386" customWidth="1"/>
    <col min="13578" max="13578" width="13.42578125" style="386" customWidth="1"/>
    <col min="13579" max="13579" width="10" style="386" customWidth="1"/>
    <col min="13580" max="13580" width="13.85546875" style="386" bestFit="1" customWidth="1"/>
    <col min="13581" max="13581" width="15" style="386" bestFit="1" customWidth="1"/>
    <col min="13582" max="13582" width="11.5703125" style="386" bestFit="1" customWidth="1"/>
    <col min="13583" max="13824" width="9.140625" style="386"/>
    <col min="13825" max="13825" width="4.28515625" style="386" customWidth="1"/>
    <col min="13826" max="13826" width="19.85546875" style="386" customWidth="1"/>
    <col min="13827" max="13827" width="10.28515625" style="386" customWidth="1"/>
    <col min="13828" max="13828" width="10.5703125" style="386" customWidth="1"/>
    <col min="13829" max="13829" width="8.42578125" style="386" customWidth="1"/>
    <col min="13830" max="13830" width="7.140625" style="386" customWidth="1"/>
    <col min="13831" max="13831" width="9.5703125" style="386" customWidth="1"/>
    <col min="13832" max="13833" width="15.140625" style="386" customWidth="1"/>
    <col min="13834" max="13834" width="13.42578125" style="386" customWidth="1"/>
    <col min="13835" max="13835" width="10" style="386" customWidth="1"/>
    <col min="13836" max="13836" width="13.85546875" style="386" bestFit="1" customWidth="1"/>
    <col min="13837" max="13837" width="15" style="386" bestFit="1" customWidth="1"/>
    <col min="13838" max="13838" width="11.5703125" style="386" bestFit="1" customWidth="1"/>
    <col min="13839" max="14080" width="9.140625" style="386"/>
    <col min="14081" max="14081" width="4.28515625" style="386" customWidth="1"/>
    <col min="14082" max="14082" width="19.85546875" style="386" customWidth="1"/>
    <col min="14083" max="14083" width="10.28515625" style="386" customWidth="1"/>
    <col min="14084" max="14084" width="10.5703125" style="386" customWidth="1"/>
    <col min="14085" max="14085" width="8.42578125" style="386" customWidth="1"/>
    <col min="14086" max="14086" width="7.140625" style="386" customWidth="1"/>
    <col min="14087" max="14087" width="9.5703125" style="386" customWidth="1"/>
    <col min="14088" max="14089" width="15.140625" style="386" customWidth="1"/>
    <col min="14090" max="14090" width="13.42578125" style="386" customWidth="1"/>
    <col min="14091" max="14091" width="10" style="386" customWidth="1"/>
    <col min="14092" max="14092" width="13.85546875" style="386" bestFit="1" customWidth="1"/>
    <col min="14093" max="14093" width="15" style="386" bestFit="1" customWidth="1"/>
    <col min="14094" max="14094" width="11.5703125" style="386" bestFit="1" customWidth="1"/>
    <col min="14095" max="14336" width="9.140625" style="386"/>
    <col min="14337" max="14337" width="4.28515625" style="386" customWidth="1"/>
    <col min="14338" max="14338" width="19.85546875" style="386" customWidth="1"/>
    <col min="14339" max="14339" width="10.28515625" style="386" customWidth="1"/>
    <col min="14340" max="14340" width="10.5703125" style="386" customWidth="1"/>
    <col min="14341" max="14341" width="8.42578125" style="386" customWidth="1"/>
    <col min="14342" max="14342" width="7.140625" style="386" customWidth="1"/>
    <col min="14343" max="14343" width="9.5703125" style="386" customWidth="1"/>
    <col min="14344" max="14345" width="15.140625" style="386" customWidth="1"/>
    <col min="14346" max="14346" width="13.42578125" style="386" customWidth="1"/>
    <col min="14347" max="14347" width="10" style="386" customWidth="1"/>
    <col min="14348" max="14348" width="13.85546875" style="386" bestFit="1" customWidth="1"/>
    <col min="14349" max="14349" width="15" style="386" bestFit="1" customWidth="1"/>
    <col min="14350" max="14350" width="11.5703125" style="386" bestFit="1" customWidth="1"/>
    <col min="14351" max="14592" width="9.140625" style="386"/>
    <col min="14593" max="14593" width="4.28515625" style="386" customWidth="1"/>
    <col min="14594" max="14594" width="19.85546875" style="386" customWidth="1"/>
    <col min="14595" max="14595" width="10.28515625" style="386" customWidth="1"/>
    <col min="14596" max="14596" width="10.5703125" style="386" customWidth="1"/>
    <col min="14597" max="14597" width="8.42578125" style="386" customWidth="1"/>
    <col min="14598" max="14598" width="7.140625" style="386" customWidth="1"/>
    <col min="14599" max="14599" width="9.5703125" style="386" customWidth="1"/>
    <col min="14600" max="14601" width="15.140625" style="386" customWidth="1"/>
    <col min="14602" max="14602" width="13.42578125" style="386" customWidth="1"/>
    <col min="14603" max="14603" width="10" style="386" customWidth="1"/>
    <col min="14604" max="14604" width="13.85546875" style="386" bestFit="1" customWidth="1"/>
    <col min="14605" max="14605" width="15" style="386" bestFit="1" customWidth="1"/>
    <col min="14606" max="14606" width="11.5703125" style="386" bestFit="1" customWidth="1"/>
    <col min="14607" max="14848" width="9.140625" style="386"/>
    <col min="14849" max="14849" width="4.28515625" style="386" customWidth="1"/>
    <col min="14850" max="14850" width="19.85546875" style="386" customWidth="1"/>
    <col min="14851" max="14851" width="10.28515625" style="386" customWidth="1"/>
    <col min="14852" max="14852" width="10.5703125" style="386" customWidth="1"/>
    <col min="14853" max="14853" width="8.42578125" style="386" customWidth="1"/>
    <col min="14854" max="14854" width="7.140625" style="386" customWidth="1"/>
    <col min="14855" max="14855" width="9.5703125" style="386" customWidth="1"/>
    <col min="14856" max="14857" width="15.140625" style="386" customWidth="1"/>
    <col min="14858" max="14858" width="13.42578125" style="386" customWidth="1"/>
    <col min="14859" max="14859" width="10" style="386" customWidth="1"/>
    <col min="14860" max="14860" width="13.85546875" style="386" bestFit="1" customWidth="1"/>
    <col min="14861" max="14861" width="15" style="386" bestFit="1" customWidth="1"/>
    <col min="14862" max="14862" width="11.5703125" style="386" bestFit="1" customWidth="1"/>
    <col min="14863" max="15104" width="9.140625" style="386"/>
    <col min="15105" max="15105" width="4.28515625" style="386" customWidth="1"/>
    <col min="15106" max="15106" width="19.85546875" style="386" customWidth="1"/>
    <col min="15107" max="15107" width="10.28515625" style="386" customWidth="1"/>
    <col min="15108" max="15108" width="10.5703125" style="386" customWidth="1"/>
    <col min="15109" max="15109" width="8.42578125" style="386" customWidth="1"/>
    <col min="15110" max="15110" width="7.140625" style="386" customWidth="1"/>
    <col min="15111" max="15111" width="9.5703125" style="386" customWidth="1"/>
    <col min="15112" max="15113" width="15.140625" style="386" customWidth="1"/>
    <col min="15114" max="15114" width="13.42578125" style="386" customWidth="1"/>
    <col min="15115" max="15115" width="10" style="386" customWidth="1"/>
    <col min="15116" max="15116" width="13.85546875" style="386" bestFit="1" customWidth="1"/>
    <col min="15117" max="15117" width="15" style="386" bestFit="1" customWidth="1"/>
    <col min="15118" max="15118" width="11.5703125" style="386" bestFit="1" customWidth="1"/>
    <col min="15119" max="15360" width="9.140625" style="386"/>
    <col min="15361" max="15361" width="4.28515625" style="386" customWidth="1"/>
    <col min="15362" max="15362" width="19.85546875" style="386" customWidth="1"/>
    <col min="15363" max="15363" width="10.28515625" style="386" customWidth="1"/>
    <col min="15364" max="15364" width="10.5703125" style="386" customWidth="1"/>
    <col min="15365" max="15365" width="8.42578125" style="386" customWidth="1"/>
    <col min="15366" max="15366" width="7.140625" style="386" customWidth="1"/>
    <col min="15367" max="15367" width="9.5703125" style="386" customWidth="1"/>
    <col min="15368" max="15369" width="15.140625" style="386" customWidth="1"/>
    <col min="15370" max="15370" width="13.42578125" style="386" customWidth="1"/>
    <col min="15371" max="15371" width="10" style="386" customWidth="1"/>
    <col min="15372" max="15372" width="13.85546875" style="386" bestFit="1" customWidth="1"/>
    <col min="15373" max="15373" width="15" style="386" bestFit="1" customWidth="1"/>
    <col min="15374" max="15374" width="11.5703125" style="386" bestFit="1" customWidth="1"/>
    <col min="15375" max="15616" width="9.140625" style="386"/>
    <col min="15617" max="15617" width="4.28515625" style="386" customWidth="1"/>
    <col min="15618" max="15618" width="19.85546875" style="386" customWidth="1"/>
    <col min="15619" max="15619" width="10.28515625" style="386" customWidth="1"/>
    <col min="15620" max="15620" width="10.5703125" style="386" customWidth="1"/>
    <col min="15621" max="15621" width="8.42578125" style="386" customWidth="1"/>
    <col min="15622" max="15622" width="7.140625" style="386" customWidth="1"/>
    <col min="15623" max="15623" width="9.5703125" style="386" customWidth="1"/>
    <col min="15624" max="15625" width="15.140625" style="386" customWidth="1"/>
    <col min="15626" max="15626" width="13.42578125" style="386" customWidth="1"/>
    <col min="15627" max="15627" width="10" style="386" customWidth="1"/>
    <col min="15628" max="15628" width="13.85546875" style="386" bestFit="1" customWidth="1"/>
    <col min="15629" max="15629" width="15" style="386" bestFit="1" customWidth="1"/>
    <col min="15630" max="15630" width="11.5703125" style="386" bestFit="1" customWidth="1"/>
    <col min="15631" max="15872" width="9.140625" style="386"/>
    <col min="15873" max="15873" width="4.28515625" style="386" customWidth="1"/>
    <col min="15874" max="15874" width="19.85546875" style="386" customWidth="1"/>
    <col min="15875" max="15875" width="10.28515625" style="386" customWidth="1"/>
    <col min="15876" max="15876" width="10.5703125" style="386" customWidth="1"/>
    <col min="15877" max="15877" width="8.42578125" style="386" customWidth="1"/>
    <col min="15878" max="15878" width="7.140625" style="386" customWidth="1"/>
    <col min="15879" max="15879" width="9.5703125" style="386" customWidth="1"/>
    <col min="15880" max="15881" width="15.140625" style="386" customWidth="1"/>
    <col min="15882" max="15882" width="13.42578125" style="386" customWidth="1"/>
    <col min="15883" max="15883" width="10" style="386" customWidth="1"/>
    <col min="15884" max="15884" width="13.85546875" style="386" bestFit="1" customWidth="1"/>
    <col min="15885" max="15885" width="15" style="386" bestFit="1" customWidth="1"/>
    <col min="15886" max="15886" width="11.5703125" style="386" bestFit="1" customWidth="1"/>
    <col min="15887" max="16128" width="9.140625" style="386"/>
    <col min="16129" max="16129" width="4.28515625" style="386" customWidth="1"/>
    <col min="16130" max="16130" width="19.85546875" style="386" customWidth="1"/>
    <col min="16131" max="16131" width="10.28515625" style="386" customWidth="1"/>
    <col min="16132" max="16132" width="10.5703125" style="386" customWidth="1"/>
    <col min="16133" max="16133" width="8.42578125" style="386" customWidth="1"/>
    <col min="16134" max="16134" width="7.140625" style="386" customWidth="1"/>
    <col min="16135" max="16135" width="9.5703125" style="386" customWidth="1"/>
    <col min="16136" max="16137" width="15.140625" style="386" customWidth="1"/>
    <col min="16138" max="16138" width="13.42578125" style="386" customWidth="1"/>
    <col min="16139" max="16139" width="10" style="386" customWidth="1"/>
    <col min="16140" max="16140" width="13.85546875" style="386" bestFit="1" customWidth="1"/>
    <col min="16141" max="16141" width="15" style="386" bestFit="1" customWidth="1"/>
    <col min="16142" max="16142" width="11.5703125" style="386" bestFit="1" customWidth="1"/>
    <col min="16143" max="16384" width="9.140625" style="386"/>
  </cols>
  <sheetData>
    <row r="1" spans="1:13" ht="18">
      <c r="A1" s="806" t="s">
        <v>252</v>
      </c>
      <c r="B1" s="806"/>
      <c r="C1" s="806"/>
      <c r="D1" s="806"/>
      <c r="E1" s="806"/>
      <c r="F1" s="806"/>
      <c r="G1" s="806"/>
      <c r="H1" s="806"/>
      <c r="I1" s="677"/>
    </row>
    <row r="2" spans="1:13">
      <c r="A2" s="807" t="s">
        <v>440</v>
      </c>
      <c r="B2" s="807"/>
      <c r="C2" s="807"/>
      <c r="D2" s="807"/>
      <c r="E2" s="807"/>
      <c r="F2" s="807"/>
      <c r="G2" s="807"/>
      <c r="H2" s="807"/>
      <c r="I2" s="678"/>
      <c r="K2" s="431"/>
      <c r="L2" s="431"/>
    </row>
    <row r="3" spans="1:13">
      <c r="A3" s="807" t="s">
        <v>441</v>
      </c>
      <c r="B3" s="807"/>
      <c r="C3" s="807"/>
      <c r="D3" s="807"/>
      <c r="E3" s="807"/>
      <c r="F3" s="807"/>
      <c r="G3" s="807"/>
      <c r="H3" s="807"/>
      <c r="I3" s="678"/>
      <c r="M3" s="414"/>
    </row>
    <row r="4" spans="1:13">
      <c r="A4" s="405"/>
      <c r="B4" s="404"/>
      <c r="C4" s="404"/>
      <c r="D4" s="404"/>
      <c r="E4" s="679" t="s">
        <v>442</v>
      </c>
      <c r="F4" s="679"/>
      <c r="G4" s="679"/>
      <c r="H4" s="657">
        <v>44286</v>
      </c>
      <c r="L4" s="414"/>
    </row>
    <row r="5" spans="1:13">
      <c r="A5" s="394" t="s">
        <v>249</v>
      </c>
      <c r="B5" s="394" t="s">
        <v>248</v>
      </c>
      <c r="C5" s="394" t="s">
        <v>93</v>
      </c>
      <c r="D5" s="394" t="s">
        <v>443</v>
      </c>
      <c r="E5" s="394" t="s">
        <v>444</v>
      </c>
      <c r="F5" s="394" t="s">
        <v>445</v>
      </c>
      <c r="G5" s="394" t="s">
        <v>446</v>
      </c>
      <c r="H5" s="403" t="s">
        <v>256</v>
      </c>
      <c r="L5" s="414"/>
    </row>
    <row r="6" spans="1:13">
      <c r="A6" s="394">
        <v>1</v>
      </c>
      <c r="B6" s="389">
        <v>2</v>
      </c>
      <c r="C6" s="389">
        <v>3</v>
      </c>
      <c r="D6" s="389">
        <v>4</v>
      </c>
      <c r="E6" s="389">
        <v>5</v>
      </c>
      <c r="F6" s="389">
        <v>6</v>
      </c>
      <c r="G6" s="389" t="s">
        <v>447</v>
      </c>
      <c r="H6" s="403">
        <v>8</v>
      </c>
      <c r="L6" s="414"/>
    </row>
    <row r="7" spans="1:13" ht="34.5" customHeight="1">
      <c r="A7" s="680">
        <v>1</v>
      </c>
      <c r="B7" s="681" t="s">
        <v>448</v>
      </c>
      <c r="C7" s="682" t="s">
        <v>255</v>
      </c>
      <c r="D7" s="676">
        <v>56030</v>
      </c>
      <c r="E7" s="683">
        <f>D7*20%</f>
        <v>11206</v>
      </c>
      <c r="F7" s="683">
        <v>10</v>
      </c>
      <c r="G7" s="683">
        <f>E7-F7</f>
        <v>11196</v>
      </c>
      <c r="H7" s="684" t="s">
        <v>390</v>
      </c>
      <c r="J7" s="409"/>
      <c r="L7" s="414"/>
    </row>
    <row r="8" spans="1:13" ht="15.75">
      <c r="A8" s="680">
        <f t="shared" ref="A8:A17" si="0">A7+1</f>
        <v>2</v>
      </c>
      <c r="B8" s="685" t="s">
        <v>449</v>
      </c>
      <c r="C8" s="680" t="s">
        <v>236</v>
      </c>
      <c r="D8" s="680">
        <v>43170</v>
      </c>
      <c r="E8" s="683">
        <f t="shared" ref="E8:E17" si="1">D8*20%</f>
        <v>8634</v>
      </c>
      <c r="F8" s="683">
        <v>10</v>
      </c>
      <c r="G8" s="683">
        <f t="shared" ref="G8:G16" si="2">E8-F8</f>
        <v>8624</v>
      </c>
      <c r="H8" s="686" t="s">
        <v>396</v>
      </c>
      <c r="L8" s="414"/>
    </row>
    <row r="9" spans="1:13" ht="15.75">
      <c r="A9" s="680">
        <f t="shared" si="0"/>
        <v>3</v>
      </c>
      <c r="B9" s="687" t="s">
        <v>450</v>
      </c>
      <c r="C9" s="680" t="s">
        <v>236</v>
      </c>
      <c r="D9" s="680">
        <v>41110</v>
      </c>
      <c r="E9" s="683">
        <f t="shared" si="1"/>
        <v>8222</v>
      </c>
      <c r="F9" s="683">
        <v>10</v>
      </c>
      <c r="G9" s="683">
        <f t="shared" si="2"/>
        <v>8212</v>
      </c>
      <c r="H9" s="686" t="s">
        <v>391</v>
      </c>
      <c r="L9" s="414"/>
    </row>
    <row r="10" spans="1:13" ht="15.75">
      <c r="A10" s="680">
        <f t="shared" si="0"/>
        <v>4</v>
      </c>
      <c r="B10" s="688" t="s">
        <v>451</v>
      </c>
      <c r="C10" s="680" t="s">
        <v>7</v>
      </c>
      <c r="D10" s="680">
        <v>41110</v>
      </c>
      <c r="E10" s="683">
        <f t="shared" si="1"/>
        <v>8222</v>
      </c>
      <c r="F10" s="683">
        <v>10</v>
      </c>
      <c r="G10" s="683">
        <f t="shared" si="2"/>
        <v>8212</v>
      </c>
      <c r="H10" s="686" t="s">
        <v>452</v>
      </c>
      <c r="L10" s="414"/>
    </row>
    <row r="11" spans="1:13" ht="15.75">
      <c r="A11" s="680">
        <f t="shared" si="0"/>
        <v>5</v>
      </c>
      <c r="B11" s="687" t="s">
        <v>453</v>
      </c>
      <c r="C11" s="680" t="s">
        <v>179</v>
      </c>
      <c r="D11" s="680">
        <v>24260</v>
      </c>
      <c r="E11" s="683">
        <f t="shared" si="1"/>
        <v>4852</v>
      </c>
      <c r="F11" s="683">
        <v>10</v>
      </c>
      <c r="G11" s="683">
        <f t="shared" si="2"/>
        <v>4842</v>
      </c>
      <c r="H11" s="686" t="s">
        <v>454</v>
      </c>
      <c r="L11" s="414"/>
    </row>
    <row r="12" spans="1:13" ht="15.75">
      <c r="A12" s="680">
        <f t="shared" si="0"/>
        <v>6</v>
      </c>
      <c r="B12" s="689" t="s">
        <v>455</v>
      </c>
      <c r="C12" s="680" t="s">
        <v>179</v>
      </c>
      <c r="D12" s="690">
        <v>22780</v>
      </c>
      <c r="E12" s="683">
        <f t="shared" si="1"/>
        <v>4556</v>
      </c>
      <c r="F12" s="683">
        <v>10</v>
      </c>
      <c r="G12" s="683">
        <f t="shared" si="2"/>
        <v>4546</v>
      </c>
      <c r="H12" s="686" t="s">
        <v>393</v>
      </c>
      <c r="L12" s="414"/>
    </row>
    <row r="13" spans="1:13" ht="15.75">
      <c r="A13" s="680">
        <f t="shared" si="0"/>
        <v>7</v>
      </c>
      <c r="B13" s="691" t="s">
        <v>456</v>
      </c>
      <c r="C13" s="680" t="s">
        <v>179</v>
      </c>
      <c r="D13" s="680">
        <v>22000</v>
      </c>
      <c r="E13" s="683">
        <f t="shared" si="1"/>
        <v>4400</v>
      </c>
      <c r="F13" s="683">
        <v>10</v>
      </c>
      <c r="G13" s="683">
        <f t="shared" si="2"/>
        <v>4390</v>
      </c>
      <c r="H13" s="686" t="s">
        <v>394</v>
      </c>
      <c r="L13" s="414"/>
    </row>
    <row r="14" spans="1:13" ht="15.75">
      <c r="A14" s="680">
        <f t="shared" si="0"/>
        <v>8</v>
      </c>
      <c r="B14" s="691" t="s">
        <v>457</v>
      </c>
      <c r="C14" s="680" t="s">
        <v>62</v>
      </c>
      <c r="D14" s="680">
        <v>19320</v>
      </c>
      <c r="E14" s="683">
        <f t="shared" si="1"/>
        <v>3864</v>
      </c>
      <c r="F14" s="683">
        <v>10</v>
      </c>
      <c r="G14" s="683">
        <f t="shared" si="2"/>
        <v>3854</v>
      </c>
      <c r="H14" s="686" t="s">
        <v>395</v>
      </c>
      <c r="L14" s="414"/>
    </row>
    <row r="15" spans="1:13" ht="15.75">
      <c r="A15" s="680">
        <f t="shared" si="0"/>
        <v>9</v>
      </c>
      <c r="B15" s="691" t="s">
        <v>63</v>
      </c>
      <c r="C15" s="680" t="s">
        <v>64</v>
      </c>
      <c r="D15" s="680">
        <v>19310</v>
      </c>
      <c r="E15" s="683">
        <f t="shared" si="1"/>
        <v>3862</v>
      </c>
      <c r="F15" s="683">
        <v>10</v>
      </c>
      <c r="G15" s="683">
        <f t="shared" si="2"/>
        <v>3852</v>
      </c>
      <c r="H15" s="686" t="s">
        <v>420</v>
      </c>
      <c r="L15" s="414"/>
    </row>
    <row r="16" spans="1:13" ht="15.75">
      <c r="A16" s="680">
        <f t="shared" si="0"/>
        <v>10</v>
      </c>
      <c r="B16" s="691" t="s">
        <v>458</v>
      </c>
      <c r="C16" s="680" t="s">
        <v>64</v>
      </c>
      <c r="D16" s="680">
        <v>19310</v>
      </c>
      <c r="E16" s="683">
        <f t="shared" si="1"/>
        <v>3862</v>
      </c>
      <c r="F16" s="683">
        <v>10</v>
      </c>
      <c r="G16" s="683">
        <f t="shared" si="2"/>
        <v>3852</v>
      </c>
      <c r="H16" s="686" t="s">
        <v>421</v>
      </c>
      <c r="L16" s="414"/>
    </row>
    <row r="17" spans="1:12" ht="15.75">
      <c r="A17" s="680">
        <f t="shared" si="0"/>
        <v>11</v>
      </c>
      <c r="B17" s="691" t="s">
        <v>459</v>
      </c>
      <c r="C17" s="680" t="s">
        <v>64</v>
      </c>
      <c r="D17" s="680">
        <v>17600</v>
      </c>
      <c r="E17" s="683">
        <f t="shared" si="1"/>
        <v>3520</v>
      </c>
      <c r="F17" s="683">
        <v>10</v>
      </c>
      <c r="G17" s="683">
        <f>E17-F17</f>
        <v>3510</v>
      </c>
      <c r="H17" s="686" t="s">
        <v>422</v>
      </c>
      <c r="L17" s="414"/>
    </row>
    <row r="18" spans="1:12" ht="15.75">
      <c r="A18" s="692"/>
      <c r="B18" s="692"/>
      <c r="C18" s="680" t="s">
        <v>460</v>
      </c>
      <c r="D18" s="680"/>
      <c r="E18" s="427">
        <f>SUM(E7:E17)</f>
        <v>65200</v>
      </c>
      <c r="F18" s="693">
        <f>SUM(F7:F17)</f>
        <v>110</v>
      </c>
      <c r="G18" s="693">
        <f>SUM(G7:G17)</f>
        <v>65090</v>
      </c>
      <c r="H18" s="694"/>
      <c r="L18" s="414"/>
    </row>
    <row r="19" spans="1:12">
      <c r="A19" s="405"/>
      <c r="B19" s="404"/>
      <c r="C19" s="404"/>
      <c r="D19" s="404"/>
      <c r="E19" s="404"/>
      <c r="F19" s="404"/>
      <c r="G19" s="404"/>
      <c r="L19" s="414"/>
    </row>
    <row r="20" spans="1:12" ht="18">
      <c r="A20" s="806"/>
      <c r="B20" s="806"/>
      <c r="C20" s="806"/>
      <c r="D20" s="806"/>
      <c r="E20" s="806"/>
      <c r="F20" s="806"/>
      <c r="G20" s="806"/>
      <c r="H20" s="806"/>
      <c r="L20" s="414"/>
    </row>
  </sheetData>
  <mergeCells count="4">
    <mergeCell ref="A1:H1"/>
    <mergeCell ref="A2:H2"/>
    <mergeCell ref="A3:H3"/>
    <mergeCell ref="A20:H20"/>
  </mergeCells>
  <pageMargins left="0.75" right="0.75" top="1" bottom="0.67" header="0.5" footer="0.5"/>
  <pageSetup paperSize="9" orientation="portrait" verticalDpi="3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19"/>
  <sheetViews>
    <sheetView workbookViewId="0">
      <selection activeCell="L11" sqref="L11"/>
    </sheetView>
  </sheetViews>
  <sheetFormatPr defaultColWidth="8.85546875" defaultRowHeight="12.75"/>
  <cols>
    <col min="1" max="1" width="12.28515625" style="102" bestFit="1" customWidth="1"/>
    <col min="2" max="2" width="9.5703125" style="102" bestFit="1" customWidth="1"/>
    <col min="3" max="5" width="8.85546875" style="102"/>
    <col min="6" max="6" width="9.5703125" style="102" bestFit="1" customWidth="1"/>
    <col min="7" max="16384" width="8.85546875" style="102"/>
  </cols>
  <sheetData>
    <row r="1" spans="1:12">
      <c r="A1" s="296"/>
      <c r="B1" s="296" t="s">
        <v>206</v>
      </c>
      <c r="C1" s="296"/>
      <c r="D1" s="296"/>
      <c r="E1" s="296" t="s">
        <v>207</v>
      </c>
    </row>
    <row r="2" spans="1:12">
      <c r="A2" s="296" t="s">
        <v>208</v>
      </c>
      <c r="B2" s="301">
        <f>'Nov 2020'!AJ27</f>
        <v>372104</v>
      </c>
      <c r="C2" s="296"/>
      <c r="D2" s="296"/>
      <c r="E2" s="297">
        <v>572538</v>
      </c>
    </row>
    <row r="3" spans="1:12">
      <c r="A3" s="296" t="s">
        <v>49</v>
      </c>
      <c r="B3" s="302">
        <f>'Nov 2020'!AA27</f>
        <v>101031</v>
      </c>
      <c r="C3" s="296"/>
      <c r="D3" s="296"/>
      <c r="E3" s="296">
        <v>18466</v>
      </c>
    </row>
    <row r="4" spans="1:12">
      <c r="A4" s="296" t="s">
        <v>210</v>
      </c>
      <c r="B4" s="296">
        <f>VOUCHER!H61</f>
        <v>3390</v>
      </c>
      <c r="C4" s="296"/>
      <c r="D4" s="296"/>
      <c r="E4" s="298">
        <v>18466</v>
      </c>
      <c r="F4" s="295"/>
    </row>
    <row r="5" spans="1:12">
      <c r="A5" s="296" t="s">
        <v>209</v>
      </c>
      <c r="B5" s="296">
        <f>VOUCHER!H84</f>
        <v>140</v>
      </c>
      <c r="C5" s="296"/>
      <c r="D5" s="296"/>
      <c r="E5" s="297">
        <f>VOUCHER!H398</f>
        <v>80728</v>
      </c>
    </row>
    <row r="6" spans="1:12">
      <c r="A6" s="296" t="s">
        <v>211</v>
      </c>
      <c r="B6" s="302">
        <f>'Nov 2020'!AB27</f>
        <v>31416</v>
      </c>
      <c r="C6" s="296"/>
      <c r="D6" s="296"/>
      <c r="E6" s="297"/>
    </row>
    <row r="7" spans="1:12">
      <c r="A7" s="296" t="s">
        <v>212</v>
      </c>
      <c r="B7" s="302">
        <f>'Nov 2020'!AC27</f>
        <v>9335</v>
      </c>
      <c r="C7" s="296"/>
      <c r="D7" s="296"/>
      <c r="E7" s="296"/>
    </row>
    <row r="8" spans="1:12">
      <c r="A8" s="296" t="s">
        <v>213</v>
      </c>
      <c r="B8" s="296">
        <f>VOUCHER!H174</f>
        <v>2550</v>
      </c>
      <c r="C8" s="296"/>
      <c r="D8" s="296"/>
      <c r="E8" s="296"/>
    </row>
    <row r="9" spans="1:12">
      <c r="A9" s="296" t="s">
        <v>214</v>
      </c>
      <c r="B9" s="299">
        <f>VOUCHER!H195</f>
        <v>30</v>
      </c>
      <c r="C9" s="299"/>
      <c r="D9" s="299"/>
      <c r="E9" s="296"/>
      <c r="G9" s="102">
        <v>22000</v>
      </c>
    </row>
    <row r="10" spans="1:12">
      <c r="A10" s="296" t="s">
        <v>215</v>
      </c>
      <c r="B10" s="299">
        <v>18</v>
      </c>
      <c r="C10" s="299"/>
      <c r="D10" s="299"/>
      <c r="E10" s="296"/>
      <c r="G10" s="102">
        <v>20440</v>
      </c>
      <c r="J10" s="387" t="s">
        <v>403</v>
      </c>
      <c r="K10" s="387" t="s">
        <v>403</v>
      </c>
    </row>
    <row r="11" spans="1:12">
      <c r="A11" s="296" t="s">
        <v>234</v>
      </c>
      <c r="B11" s="299">
        <v>3000</v>
      </c>
      <c r="C11" s="299"/>
      <c r="D11" s="299"/>
      <c r="E11" s="296"/>
      <c r="G11" s="102">
        <f>G9-G10</f>
        <v>1560</v>
      </c>
      <c r="H11" s="102">
        <f>G11/30*15</f>
        <v>780</v>
      </c>
      <c r="J11" s="387" t="s">
        <v>404</v>
      </c>
      <c r="K11" s="387" t="s">
        <v>433</v>
      </c>
      <c r="L11" s="637">
        <f>K11-K10</f>
        <v>702</v>
      </c>
    </row>
    <row r="12" spans="1:12">
      <c r="A12" s="296" t="s">
        <v>219</v>
      </c>
      <c r="B12" s="298">
        <f>'Nov 2020'!X27</f>
        <v>18466</v>
      </c>
      <c r="C12" s="296"/>
      <c r="D12" s="296"/>
      <c r="E12" s="296"/>
      <c r="J12" s="637">
        <f>J10-J11</f>
        <v>351</v>
      </c>
    </row>
    <row r="13" spans="1:12">
      <c r="A13" s="296" t="s">
        <v>216</v>
      </c>
      <c r="B13" s="298">
        <f>B12</f>
        <v>18466</v>
      </c>
      <c r="C13" s="296"/>
      <c r="D13" s="296"/>
      <c r="E13" s="296"/>
    </row>
    <row r="14" spans="1:12">
      <c r="A14" s="296" t="s">
        <v>239</v>
      </c>
      <c r="B14" s="298">
        <f>B13</f>
        <v>18466</v>
      </c>
      <c r="C14" s="296"/>
      <c r="D14" s="296"/>
      <c r="E14" s="296"/>
    </row>
    <row r="15" spans="1:12">
      <c r="A15" s="296" t="s">
        <v>217</v>
      </c>
      <c r="B15" s="360">
        <f>'Nov 2020'!T27-'Nov 2020'!T22</f>
        <v>71491</v>
      </c>
      <c r="C15" s="296"/>
      <c r="D15" s="296"/>
      <c r="E15" s="296"/>
    </row>
    <row r="16" spans="1:12">
      <c r="A16" s="296" t="s">
        <v>218</v>
      </c>
      <c r="B16" s="298">
        <f>'Nov 2020'!T22</f>
        <v>9237</v>
      </c>
      <c r="C16" s="296"/>
      <c r="D16" s="296"/>
      <c r="E16" s="296"/>
    </row>
    <row r="17" spans="1:6">
      <c r="A17" s="296" t="s">
        <v>220</v>
      </c>
      <c r="B17" s="298">
        <f>'Nov 2020'!Y27-B14-B18</f>
        <v>25425</v>
      </c>
      <c r="C17" s="296"/>
      <c r="D17" s="296"/>
      <c r="E17" s="296"/>
    </row>
    <row r="18" spans="1:6">
      <c r="A18" s="296" t="s">
        <v>221</v>
      </c>
      <c r="B18" s="298">
        <f>'Nov 2020'!Y22</f>
        <v>5633</v>
      </c>
      <c r="C18" s="296"/>
      <c r="D18" s="296"/>
      <c r="E18" s="296"/>
    </row>
    <row r="19" spans="1:6">
      <c r="A19" s="300"/>
      <c r="B19" s="300">
        <f>SUM(B2:B18)</f>
        <v>690198</v>
      </c>
      <c r="C19" s="300"/>
      <c r="D19" s="300"/>
      <c r="E19" s="300">
        <f>SUM(E2:E18)</f>
        <v>690198</v>
      </c>
      <c r="F19" s="102">
        <f>E19-B19</f>
        <v>0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7"/>
  <sheetViews>
    <sheetView view="pageBreakPreview" zoomScale="80" zoomScaleSheetLayoutView="80" workbookViewId="0">
      <selection activeCell="B24" sqref="B24"/>
    </sheetView>
  </sheetViews>
  <sheetFormatPr defaultColWidth="9.140625" defaultRowHeight="12.75"/>
  <cols>
    <col min="1" max="1" width="1.140625" style="3" customWidth="1"/>
    <col min="2" max="2" width="3.85546875" style="3" customWidth="1"/>
    <col min="3" max="3" width="9.42578125" style="3" customWidth="1"/>
    <col min="4" max="4" width="22.42578125" style="3" customWidth="1"/>
    <col min="5" max="5" width="9.28515625" style="3" customWidth="1"/>
    <col min="6" max="6" width="10.42578125" style="3" customWidth="1"/>
    <col min="7" max="7" width="12" style="3" customWidth="1"/>
    <col min="8" max="8" width="12.7109375" style="3" customWidth="1"/>
    <col min="9" max="9" width="8.42578125" style="3" customWidth="1"/>
    <col min="10" max="10" width="11.28515625" style="3" bestFit="1" customWidth="1"/>
    <col min="11" max="16384" width="9.140625" style="3"/>
  </cols>
  <sheetData>
    <row r="1" spans="1:13" ht="17.45" customHeight="1">
      <c r="A1" s="897" t="s">
        <v>18</v>
      </c>
      <c r="B1" s="897"/>
      <c r="C1" s="897"/>
      <c r="D1" s="897"/>
      <c r="E1" s="897"/>
      <c r="F1" s="897"/>
      <c r="G1" s="897"/>
      <c r="H1" s="897"/>
      <c r="I1" s="897"/>
      <c r="J1" s="897"/>
      <c r="K1" s="897"/>
    </row>
    <row r="2" spans="1:13" ht="15.75">
      <c r="A2" s="832" t="s">
        <v>87</v>
      </c>
      <c r="B2" s="832"/>
      <c r="C2" s="832"/>
      <c r="D2" s="832"/>
      <c r="E2" s="832"/>
      <c r="F2" s="832"/>
      <c r="G2" s="832"/>
      <c r="H2" s="832"/>
      <c r="I2" s="832"/>
      <c r="J2" s="832"/>
      <c r="K2" s="832"/>
    </row>
    <row r="3" spans="1:13" ht="15.75">
      <c r="A3" s="362"/>
      <c r="B3" s="362"/>
      <c r="C3" s="362"/>
      <c r="D3" s="362"/>
      <c r="E3" s="362"/>
      <c r="F3" s="362"/>
      <c r="G3" s="362"/>
      <c r="H3" s="362"/>
      <c r="I3" s="362"/>
      <c r="J3" s="362"/>
      <c r="K3" s="362"/>
    </row>
    <row r="4" spans="1:13" ht="15.75">
      <c r="A4" s="362"/>
      <c r="B4" s="362"/>
      <c r="C4" s="362"/>
      <c r="D4" s="362"/>
      <c r="E4" s="362"/>
      <c r="F4" s="362"/>
      <c r="G4" s="362"/>
      <c r="H4" s="362"/>
      <c r="I4" s="362"/>
      <c r="J4" s="362"/>
      <c r="K4" s="362"/>
    </row>
    <row r="5" spans="1:13" ht="15.75">
      <c r="A5" s="362"/>
      <c r="B5" s="362"/>
      <c r="C5" s="362"/>
      <c r="D5" s="362"/>
      <c r="E5" s="362"/>
      <c r="F5" s="362"/>
      <c r="G5" s="362"/>
      <c r="H5" s="362"/>
      <c r="I5" s="362"/>
      <c r="J5" s="362"/>
      <c r="K5" s="362"/>
    </row>
    <row r="6" spans="1:13" ht="15.75">
      <c r="A6" s="362"/>
      <c r="B6" s="362"/>
      <c r="C6" s="362"/>
      <c r="D6" s="362"/>
      <c r="E6" s="362"/>
      <c r="F6" s="362"/>
      <c r="G6" s="362"/>
      <c r="H6" s="362"/>
      <c r="I6" s="362"/>
      <c r="J6" s="362"/>
      <c r="K6" s="362"/>
    </row>
    <row r="7" spans="1:13" ht="15.75">
      <c r="A7" s="362"/>
      <c r="B7" s="362"/>
      <c r="C7" s="362"/>
      <c r="D7" s="362"/>
      <c r="E7" s="362"/>
      <c r="F7" s="362"/>
      <c r="G7" s="362"/>
      <c r="H7" s="362"/>
      <c r="I7" s="362"/>
      <c r="J7" s="362"/>
      <c r="K7" s="362"/>
    </row>
    <row r="8" spans="1:13" ht="15.75">
      <c r="A8" s="4"/>
      <c r="B8" s="833" t="s">
        <v>6</v>
      </c>
      <c r="C8" s="833"/>
      <c r="D8" s="5"/>
      <c r="E8" s="5"/>
      <c r="G8" s="364" t="s">
        <v>69</v>
      </c>
      <c r="H8" s="377" t="s">
        <v>243</v>
      </c>
    </row>
    <row r="9" spans="1:13" ht="15.75">
      <c r="A9" s="4"/>
      <c r="B9" s="4"/>
      <c r="C9" s="4"/>
      <c r="D9" s="8"/>
      <c r="E9" s="8"/>
      <c r="F9" s="4"/>
      <c r="G9" s="4"/>
      <c r="H9" s="4"/>
    </row>
    <row r="10" spans="1:13" ht="15">
      <c r="B10" s="896" t="s">
        <v>242</v>
      </c>
      <c r="C10" s="896"/>
      <c r="D10" s="896"/>
      <c r="E10" s="896"/>
      <c r="F10" s="896"/>
      <c r="G10" s="896"/>
      <c r="H10" s="896"/>
      <c r="I10" s="896"/>
      <c r="J10" s="13"/>
      <c r="K10" s="13"/>
    </row>
    <row r="11" spans="1:13" ht="15">
      <c r="B11" s="14"/>
      <c r="C11" s="11"/>
      <c r="D11" s="11"/>
      <c r="E11" s="11"/>
      <c r="F11" s="11"/>
      <c r="G11" s="11"/>
      <c r="H11" s="11"/>
      <c r="I11" s="12"/>
      <c r="J11" s="13"/>
      <c r="K11" s="13"/>
    </row>
    <row r="12" spans="1:13" ht="70.150000000000006" customHeight="1">
      <c r="B12" s="15" t="s">
        <v>74</v>
      </c>
      <c r="C12" s="15" t="s">
        <v>86</v>
      </c>
      <c r="D12" s="363" t="s">
        <v>75</v>
      </c>
      <c r="E12" s="17" t="s">
        <v>19</v>
      </c>
      <c r="F12" s="18" t="s">
        <v>230</v>
      </c>
      <c r="G12" s="18" t="s">
        <v>238</v>
      </c>
      <c r="H12" s="18" t="s">
        <v>231</v>
      </c>
      <c r="I12" s="18" t="s">
        <v>232</v>
      </c>
      <c r="J12" s="269" t="s">
        <v>204</v>
      </c>
      <c r="K12" s="20"/>
      <c r="L12" s="13"/>
      <c r="M12" s="13"/>
    </row>
    <row r="13" spans="1:13" ht="30">
      <c r="B13" s="67">
        <v>1</v>
      </c>
      <c r="C13" s="22">
        <f>'Nov 2020'!C10</f>
        <v>2509</v>
      </c>
      <c r="D13" s="22" t="str">
        <f>'Nov 2020'!D10</f>
        <v>Shankar Kumar Bhoumik</v>
      </c>
      <c r="E13" s="22" t="str">
        <f>'Nov 2020'!E10</f>
        <v>AGM</v>
      </c>
      <c r="F13" s="294">
        <f>'Nov 2020'!G10</f>
        <v>56030</v>
      </c>
      <c r="G13" s="294">
        <f>ROUND(F13*2,0)</f>
        <v>112060</v>
      </c>
      <c r="H13" s="294">
        <v>10</v>
      </c>
      <c r="I13" s="99">
        <f>G13-H13</f>
        <v>112050</v>
      </c>
      <c r="J13" s="294">
        <v>798</v>
      </c>
      <c r="K13" s="20"/>
      <c r="L13" s="13"/>
      <c r="M13" s="13"/>
    </row>
    <row r="14" spans="1:13" ht="15">
      <c r="B14" s="830" t="s">
        <v>20</v>
      </c>
      <c r="C14" s="830"/>
      <c r="D14" s="830"/>
      <c r="E14" s="361"/>
      <c r="F14" s="100">
        <f>SUM(F13:F13)</f>
        <v>56030</v>
      </c>
      <c r="G14" s="100">
        <f>SUM(G13:G13)</f>
        <v>112060</v>
      </c>
      <c r="H14" s="100">
        <f>SUM(H13:H13)</f>
        <v>10</v>
      </c>
      <c r="I14" s="100">
        <f>SUM(I13:I13)</f>
        <v>112050</v>
      </c>
      <c r="J14" s="29"/>
    </row>
    <row r="15" spans="1:13">
      <c r="B15" s="33"/>
      <c r="C15" s="34"/>
      <c r="D15" s="33"/>
      <c r="E15" s="33"/>
      <c r="F15" s="33"/>
      <c r="G15" s="33"/>
      <c r="H15" s="38"/>
    </row>
    <row r="16" spans="1:13">
      <c r="B16" s="33"/>
      <c r="C16" s="34"/>
      <c r="D16" s="33"/>
      <c r="E16" s="33"/>
      <c r="F16" s="33"/>
      <c r="G16" s="33"/>
      <c r="H16" s="38"/>
    </row>
    <row r="17" spans="2:9">
      <c r="B17" s="33"/>
      <c r="C17" s="34"/>
      <c r="D17" s="33"/>
      <c r="E17" s="33"/>
      <c r="F17" s="33"/>
      <c r="G17" s="33"/>
      <c r="H17" s="38"/>
    </row>
    <row r="18" spans="2:9">
      <c r="B18" s="33"/>
      <c r="C18" s="34"/>
      <c r="D18" s="33"/>
      <c r="E18" s="33"/>
      <c r="F18" s="33"/>
      <c r="G18" s="33"/>
      <c r="H18" s="38"/>
    </row>
    <row r="19" spans="2:9">
      <c r="B19" s="33"/>
      <c r="C19" s="34"/>
      <c r="D19" s="33"/>
      <c r="E19" s="33"/>
      <c r="F19" s="33"/>
      <c r="G19" s="33"/>
      <c r="H19" s="38"/>
    </row>
    <row r="20" spans="2:9">
      <c r="B20" s="33"/>
      <c r="C20" s="34"/>
      <c r="D20" s="33"/>
      <c r="E20" s="33"/>
      <c r="F20" s="33"/>
      <c r="G20" s="33"/>
      <c r="H20" s="38"/>
    </row>
    <row r="21" spans="2:9">
      <c r="B21" s="33"/>
      <c r="C21" s="34"/>
      <c r="D21" s="33"/>
      <c r="E21" s="33"/>
      <c r="F21" s="33"/>
      <c r="G21" s="33"/>
      <c r="H21" s="38"/>
    </row>
    <row r="22" spans="2:9">
      <c r="H22" s="38"/>
    </row>
    <row r="23" spans="2:9" ht="15.75">
      <c r="B23" s="40" t="s">
        <v>79</v>
      </c>
      <c r="C23" s="40"/>
      <c r="D23" s="4"/>
      <c r="E23" s="40" t="s">
        <v>236</v>
      </c>
      <c r="F23" s="4"/>
      <c r="G23" s="4"/>
      <c r="H23" s="40"/>
      <c r="I23" s="40" t="s">
        <v>205</v>
      </c>
    </row>
    <row r="24" spans="2:9" ht="15.75">
      <c r="B24" s="40"/>
      <c r="C24" s="40"/>
      <c r="D24" s="4"/>
      <c r="E24" s="40"/>
      <c r="F24" s="4"/>
      <c r="G24" s="4"/>
      <c r="H24" s="40"/>
      <c r="I24" s="4"/>
    </row>
    <row r="25" spans="2:9" ht="15.75">
      <c r="B25" s="40"/>
      <c r="C25" s="40"/>
      <c r="D25" s="4"/>
      <c r="E25" s="40"/>
      <c r="F25" s="4"/>
      <c r="G25" s="4"/>
      <c r="H25" s="40"/>
      <c r="I25" s="4"/>
    </row>
    <row r="26" spans="2:9" ht="15.75">
      <c r="B26" s="40"/>
      <c r="C26" s="40"/>
      <c r="D26" s="4"/>
      <c r="E26" s="40"/>
      <c r="F26" s="4"/>
      <c r="G26" s="4"/>
      <c r="H26" s="40"/>
      <c r="I26" s="4"/>
    </row>
    <row r="27" spans="2:9" ht="15.75">
      <c r="B27" s="40"/>
      <c r="C27" s="40"/>
      <c r="D27" s="4"/>
      <c r="E27" s="40"/>
      <c r="F27" s="4"/>
      <c r="G27" s="4"/>
      <c r="H27" s="40"/>
      <c r="I27" s="4"/>
    </row>
  </sheetData>
  <mergeCells count="5">
    <mergeCell ref="A1:K1"/>
    <mergeCell ref="A2:K2"/>
    <mergeCell ref="B8:C8"/>
    <mergeCell ref="B10:I10"/>
    <mergeCell ref="B14:D14"/>
  </mergeCells>
  <pageMargins left="0.7" right="0.7" top="0.75" bottom="0.75" header="0.3" footer="0.3"/>
  <pageSetup scale="91" orientation="landscape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8</vt:i4>
      </vt:variant>
    </vt:vector>
  </HeadingPairs>
  <TitlesOfParts>
    <vt:vector size="19" baseType="lpstr">
      <vt:lpstr>MB Salary sheet Oct-2020Kalam </vt:lpstr>
      <vt:lpstr>RPB Salary  August 2021</vt:lpstr>
      <vt:lpstr>RPB  HBA &amp; MCA Deduct Augu 2021</vt:lpstr>
      <vt:lpstr>RPB voucher  August2021 </vt:lpstr>
      <vt:lpstr>Nov 2020</vt:lpstr>
      <vt:lpstr>STATEMENT</vt:lpstr>
      <vt:lpstr>VOUCHER</vt:lpstr>
      <vt:lpstr>Bonus</vt:lpstr>
      <vt:lpstr>RPB Baishakhi Vata 31.03.2021</vt:lpstr>
      <vt:lpstr>Sheet1</vt:lpstr>
      <vt:lpstr>Sheet2</vt:lpstr>
      <vt:lpstr>'MB Salary sheet Oct-2020Kalam '!Print_Area</vt:lpstr>
      <vt:lpstr>'Nov 2020'!Print_Area</vt:lpstr>
      <vt:lpstr>'RPB Salary  August 2021'!Print_Area</vt:lpstr>
      <vt:lpstr>'RPB voucher  August2021 '!Print_Area</vt:lpstr>
      <vt:lpstr>STATEMENT!Print_Area</vt:lpstr>
      <vt:lpstr>VOUCHER!Print_Area</vt:lpstr>
      <vt:lpstr>'Nov 2020'!Print_Titles</vt:lpstr>
      <vt:lpstr>'RPB Salary  August 2021'!Print_Titles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BSB Khulna</dc:creator>
  <cp:lastModifiedBy>Shameema alam</cp:lastModifiedBy>
  <cp:lastPrinted>2021-09-15T11:54:45Z</cp:lastPrinted>
  <dcterms:created xsi:type="dcterms:W3CDTF">2002-08-29T03:58:55Z</dcterms:created>
  <dcterms:modified xsi:type="dcterms:W3CDTF">2021-09-27T05:48:18Z</dcterms:modified>
</cp:coreProperties>
</file>